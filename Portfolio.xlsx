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filterPrivacy="1"/>
  <xr:revisionPtr revIDLastSave="0" documentId="8_{C1D9CA8F-BE30-7741-B6FF-FEF75F7EA59E}" xr6:coauthVersionLast="47" xr6:coauthVersionMax="47" xr10:uidLastSave="{00000000-0000-0000-0000-000000000000}"/>
  <bookViews>
    <workbookView xWindow="0" yWindow="740" windowWidth="29400" windowHeight="17300" activeTab="2" xr2:uid="{00000000-000D-0000-FFFF-FFFF00000000}"/>
  </bookViews>
  <sheets>
    <sheet name="Outline" sheetId="1" r:id="rId1"/>
    <sheet name="2 Risky+risk-free" sheetId="2" r:id="rId2"/>
    <sheet name="Many Risky" sheetId="3" r:id="rId3"/>
    <sheet name="Notes " sheetId="4" r:id="rId4"/>
  </sheets>
  <externalReferences>
    <externalReference r:id="rId5"/>
  </externalReferences>
  <definedNames>
    <definedName name="solver_adj" localSheetId="1" hidden="1">'2 Risky+risk-free'!$D$12:$D$13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'2 Risky+risk-free'!$B$25</definedName>
    <definedName name="solver_lhs2" localSheetId="1" hidden="1">'2 Risky+risk-free'!$E$12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opt" localSheetId="1" hidden="1">'2 Risky+risk-free'!$B$21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'[1]Portfolio '!$B$17</definedName>
    <definedName name="solver_rhs2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K24" i="2"/>
  <c r="B19" i="2"/>
  <c r="B42" i="3"/>
  <c r="B41" i="3"/>
  <c r="C39" i="3"/>
  <c r="D39" i="3"/>
  <c r="E39" i="3"/>
  <c r="F39" i="3"/>
  <c r="E38" i="3"/>
  <c r="D37" i="3"/>
  <c r="F37" i="3"/>
  <c r="E36" i="3"/>
  <c r="C35" i="3"/>
  <c r="D35" i="3"/>
  <c r="F35" i="3"/>
  <c r="B39" i="3"/>
  <c r="D30" i="3"/>
  <c r="D38" i="3" s="1"/>
  <c r="D31" i="3"/>
  <c r="B29" i="3"/>
  <c r="B37" i="3" s="1"/>
  <c r="B28" i="3"/>
  <c r="B36" i="3" s="1"/>
  <c r="B31" i="3"/>
  <c r="F31" i="3"/>
  <c r="F30" i="3"/>
  <c r="F38" i="3" s="1"/>
  <c r="E30" i="3"/>
  <c r="E29" i="3"/>
  <c r="E37" i="3" s="1"/>
  <c r="F29" i="3"/>
  <c r="D29" i="3"/>
  <c r="D28" i="3"/>
  <c r="D36" i="3" s="1"/>
  <c r="E28" i="3"/>
  <c r="C30" i="3" s="1"/>
  <c r="C38" i="3" s="1"/>
  <c r="F28" i="3"/>
  <c r="C31" i="3" s="1"/>
  <c r="C28" i="3"/>
  <c r="C36" i="3" s="1"/>
  <c r="C27" i="3"/>
  <c r="D27" i="3"/>
  <c r="E27" i="3"/>
  <c r="B30" i="3" s="1"/>
  <c r="B38" i="3" s="1"/>
  <c r="F27" i="3"/>
  <c r="B27" i="3"/>
  <c r="B35" i="3" s="1"/>
  <c r="C23" i="3" a="1"/>
  <c r="C23" i="3" s="1"/>
  <c r="B23" i="3"/>
  <c r="B21" i="3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L18" i="2"/>
  <c r="K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E12" i="2"/>
  <c r="B20" i="2"/>
  <c r="B21" i="2" l="1"/>
  <c r="E31" i="3"/>
  <c r="E35" i="3"/>
  <c r="C29" i="3"/>
  <c r="C37" i="3" s="1"/>
  <c r="F36" i="3"/>
  <c r="B23" i="2"/>
  <c r="B24" i="2" s="1"/>
  <c r="B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<sst xmlns="http://schemas.openxmlformats.org/spreadsheetml/2006/main" count="51" uniqueCount="50">
  <si>
    <t>Asset</t>
  </si>
  <si>
    <t>SD</t>
  </si>
  <si>
    <t>Correlation</t>
  </si>
  <si>
    <t>Expected Return</t>
  </si>
  <si>
    <t xml:space="preserve">How do you allocate your money across your portfolio in the most effective way possible? </t>
  </si>
  <si>
    <t xml:space="preserve">Naïve diversification: if you have $1,000, invest $200 in 5 stocks </t>
  </si>
  <si>
    <t xml:space="preserve">Instead, for every unit of risk, how can we optimize return? </t>
  </si>
  <si>
    <t xml:space="preserve">Risky Assets </t>
  </si>
  <si>
    <t xml:space="preserve">Risk-free Assets (treasuries) </t>
  </si>
  <si>
    <t xml:space="preserve">Asset 1 </t>
  </si>
  <si>
    <t xml:space="preserve">Stock 1 </t>
  </si>
  <si>
    <t xml:space="preserve">Stock 2 </t>
  </si>
  <si>
    <t xml:space="preserve">Expected Return </t>
  </si>
  <si>
    <t>this is from CAPM</t>
  </si>
  <si>
    <t xml:space="preserve">Annualized Volatility </t>
  </si>
  <si>
    <t xml:space="preserve">Correlation </t>
  </si>
  <si>
    <t xml:space="preserve">use = correl ( HPR for stock 1, HPR for stock 2) </t>
  </si>
  <si>
    <t xml:space="preserve">Risk-Free Rate </t>
  </si>
  <si>
    <t xml:space="preserve">use 10Y Treasury Yield </t>
  </si>
  <si>
    <t xml:space="preserve">Target Portfolio Return </t>
  </si>
  <si>
    <t xml:space="preserve">*Set the return to be reasonable, based on stock 1 and 2's expected returns </t>
  </si>
  <si>
    <t xml:space="preserve">Risky Portfolio Return (Rp)  </t>
  </si>
  <si>
    <t xml:space="preserve">Risky Portfolio SD Sigma P   </t>
  </si>
  <si>
    <t xml:space="preserve">Risky Portfolio Return = what is the weighted average? </t>
  </si>
  <si>
    <t xml:space="preserve">Weights </t>
  </si>
  <si>
    <t xml:space="preserve">Sharpe Ratio </t>
  </si>
  <si>
    <t xml:space="preserve">Sum of weights </t>
  </si>
  <si>
    <t xml:space="preserve">Weights for Risky Portfolio </t>
  </si>
  <si>
    <t xml:space="preserve">Weights for Risk-free asset </t>
  </si>
  <si>
    <t xml:space="preserve">Complete Portfolio Return </t>
  </si>
  <si>
    <t xml:space="preserve">Main objective:maximize it </t>
  </si>
  <si>
    <t xml:space="preserve">Constraint 1: Sum of Weights = 1 </t>
  </si>
  <si>
    <t xml:space="preserve">Constraint 1: Complete portfolio return needs to match the target </t>
  </si>
  <si>
    <t xml:space="preserve">Stock 1 Weights </t>
  </si>
  <si>
    <t xml:space="preserve">Stock 2 Weights </t>
  </si>
  <si>
    <t>Portfolio SD</t>
  </si>
  <si>
    <t xml:space="preserve">Portfolio Ret </t>
  </si>
  <si>
    <t>Weights</t>
  </si>
  <si>
    <t xml:space="preserve">Sum of Weights </t>
  </si>
  <si>
    <t xml:space="preserve">Constraint: Sum of weights = 1 </t>
  </si>
  <si>
    <t xml:space="preserve">Portfolio Return </t>
  </si>
  <si>
    <t xml:space="preserve">Target </t>
  </si>
  <si>
    <t xml:space="preserve">Constraint = Target </t>
  </si>
  <si>
    <t xml:space="preserve">Covariance </t>
  </si>
  <si>
    <t xml:space="preserve">Portfolio Variance </t>
  </si>
  <si>
    <t xml:space="preserve">Portfolio SD </t>
  </si>
  <si>
    <t xml:space="preserve">For solver, the objective should be portfolio sd </t>
  </si>
  <si>
    <t xml:space="preserve">set to minimum </t>
  </si>
  <si>
    <t xml:space="preserve">sum of weights must be equal to 1 </t>
  </si>
  <si>
    <t xml:space="preserve">the portfolio return needs to equal the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</si>
</sst>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00%"/>
    <numFmt numFmtId="166" formatCode="0.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color theme="1"/>
      <name val="Baskerville Old Face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3" xfId="1" applyNumberFormat="1" applyFont="1" applyBorder="1" applyAlignment="1">
      <alignment horizontal="center"/>
    </xf>
    <xf numFmtId="0" fontId="3" fillId="0" borderId="0" xfId="0" applyFont="1"/>
    <xf numFmtId="9" fontId="2" fillId="0" borderId="0" xfId="0" applyNumberFormat="1" applyFont="1"/>
    <xf numFmtId="10" fontId="2" fillId="0" borderId="0" xfId="0" applyNumberFormat="1" applyFont="1"/>
    <xf numFmtId="0" fontId="2" fillId="3" borderId="0" xfId="0" applyFont="1" applyFill="1"/>
    <xf numFmtId="9" fontId="2" fillId="3" borderId="0" xfId="0" applyNumberFormat="1" applyFont="1" applyFill="1"/>
    <xf numFmtId="10" fontId="2" fillId="0" borderId="0" xfId="1" applyNumberFormat="1" applyFont="1"/>
    <xf numFmtId="43" fontId="2" fillId="0" borderId="0" xfId="2" applyFont="1" applyAlignment="1">
      <alignment horizontal="left"/>
    </xf>
    <xf numFmtId="10" fontId="2" fillId="3" borderId="0" xfId="0" applyNumberFormat="1" applyFont="1" applyFill="1"/>
    <xf numFmtId="164" fontId="2" fillId="0" borderId="0" xfId="0" applyNumberFormat="1" applyFont="1"/>
    <xf numFmtId="9" fontId="2" fillId="4" borderId="0" xfId="0" applyNumberFormat="1" applyFont="1" applyFill="1"/>
    <xf numFmtId="165" fontId="2" fillId="0" borderId="0" xfId="0" applyNumberFormat="1" applyFont="1"/>
    <xf numFmtId="166" fontId="2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9526</xdr:rowOff>
    </xdr:from>
    <xdr:to>
      <xdr:col>8</xdr:col>
      <xdr:colOff>9525</xdr:colOff>
      <xdr:row>7</xdr:row>
      <xdr:rowOff>180976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00C5AC-409C-435F-BBA2-D269BDCCCDE0}"/>
            </a:ext>
          </a:extLst>
        </xdr:cNvPr>
        <xdr:cNvSpPr txBox="1"/>
      </xdr:nvSpPr>
      <xdr:spPr>
        <a:xfrm>
          <a:off x="609600" y="581026"/>
          <a:ext cx="4276725" cy="93345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Garamond" panose="02020404030301010803" pitchFamily="18" charset="0"/>
            </a:rPr>
            <a:t>Outline</a:t>
          </a:r>
        </a:p>
        <a:p>
          <a:r>
            <a:rPr lang="en-US" sz="1200">
              <a:latin typeface="Garamond" panose="02020404030301010803" pitchFamily="18" charset="0"/>
            </a:rPr>
            <a:t>Portfolio optimization (Two risky assets and a risk-free asset)</a:t>
          </a:r>
        </a:p>
        <a:p>
          <a:r>
            <a:rPr lang="en-US" sz="1200">
              <a:latin typeface="Garamond" panose="02020404030301010803" pitchFamily="18" charset="0"/>
            </a:rPr>
            <a:t>Portfolio optimization</a:t>
          </a:r>
          <a:r>
            <a:rPr lang="en-US" sz="1200" baseline="0">
              <a:latin typeface="Garamond" panose="02020404030301010803" pitchFamily="18" charset="0"/>
            </a:rPr>
            <a:t> (Multiple risky assets)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600076</xdr:colOff>
      <xdr:row>1</xdr:row>
      <xdr:rowOff>182032</xdr:rowOff>
    </xdr:from>
    <xdr:to>
      <xdr:col>9</xdr:col>
      <xdr:colOff>482600</xdr:colOff>
      <xdr:row>7</xdr:row>
      <xdr:rowOff>203200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635678-591E-4789-819E-B33BC3B45A77}"/>
            </a:ext>
          </a:extLst>
        </xdr:cNvPr>
        <xdr:cNvSpPr txBox="1"/>
      </xdr:nvSpPr>
      <xdr:spPr>
        <a:xfrm>
          <a:off x="600076" y="372532"/>
          <a:ext cx="6169024" cy="116416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Garamond" panose="02020404030301010803" pitchFamily="18" charset="0"/>
            </a:rPr>
            <a:t>Stock</a:t>
          </a:r>
          <a:r>
            <a:rPr lang="en-US" sz="1200" baseline="0">
              <a:latin typeface="Garamond" panose="02020404030301010803" pitchFamily="18" charset="0"/>
            </a:rPr>
            <a:t> 1 has an expected return of 12% and an annualized volatility of 11%.</a:t>
          </a:r>
        </a:p>
        <a:p>
          <a:r>
            <a:rPr lang="en-US" sz="1200" baseline="0">
              <a:latin typeface="Garamond" panose="02020404030301010803" pitchFamily="18" charset="0"/>
            </a:rPr>
            <a:t>Stock 2 has an expected return of 19% and an annualized volatility of 7.5%.</a:t>
          </a:r>
        </a:p>
        <a:p>
          <a:r>
            <a:rPr lang="en-US" sz="1200" baseline="0">
              <a:latin typeface="Garamond" panose="02020404030301010803" pitchFamily="18" charset="0"/>
            </a:rPr>
            <a:t>The correlation between stock 1 and stock 2 is 0.06.</a:t>
          </a:r>
        </a:p>
        <a:p>
          <a:r>
            <a:rPr lang="en-US" sz="1200" baseline="0">
              <a:latin typeface="Garamond" panose="02020404030301010803" pitchFamily="18" charset="0"/>
            </a:rPr>
            <a:t>The risk-free rate is 2%.</a:t>
          </a:r>
        </a:p>
        <a:p>
          <a:r>
            <a:rPr lang="en-US" sz="1200" baseline="0">
              <a:latin typeface="Garamond" panose="02020404030301010803" pitchFamily="18" charset="0"/>
            </a:rPr>
            <a:t>If our target portfolio return is 15%, find the optimal weights for risky assets and risk-free asset. Graph the risky opportunity set.</a:t>
          </a:r>
          <a:endParaRPr lang="en-US" sz="1200">
            <a:latin typeface="Garamond" panose="02020404030301010803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9</xdr:col>
      <xdr:colOff>142875</xdr:colOff>
      <xdr:row>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837BD7-B5C7-49A6-9BE7-D64977BEB536}"/>
            </a:ext>
          </a:extLst>
        </xdr:cNvPr>
        <xdr:cNvSpPr txBox="1"/>
      </xdr:nvSpPr>
      <xdr:spPr>
        <a:xfrm>
          <a:off x="609600" y="400050"/>
          <a:ext cx="5019675" cy="762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Garamond" panose="02020404030301010803" pitchFamily="18" charset="0"/>
            </a:rPr>
            <a:t>Your portfolio has five assets with the following expected returns and standard deviations. The</a:t>
          </a:r>
          <a:r>
            <a:rPr lang="en-US" sz="1200" baseline="0">
              <a:latin typeface="Garamond" panose="02020404030301010803" pitchFamily="18" charset="0"/>
            </a:rPr>
            <a:t> correlation among these five assets are also given in the matrix.</a:t>
          </a:r>
        </a:p>
        <a:p>
          <a:r>
            <a:rPr lang="en-US" sz="1200" baseline="0">
              <a:latin typeface="Garamond" panose="02020404030301010803" pitchFamily="18" charset="0"/>
            </a:rPr>
            <a:t>If our target portfolio return is 16%, find the optimal weights for risky assets.</a:t>
          </a:r>
          <a:endParaRPr lang="en-US" sz="1200">
            <a:latin typeface="Garamond" panose="02020404030301010803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llynicole15/Downloads/Final_Project_Financial_Modeling.xlsx" TargetMode="External"/><Relationship Id="rId1" Type="http://schemas.openxmlformats.org/officeDocument/2006/relationships/externalLinkPath" Target="Final_Project_Financial_Mode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 ODFL"/>
      <sheetName val="Info JKHY"/>
      <sheetName val="Info VOO"/>
      <sheetName val="ODFL"/>
      <sheetName val="ODFL Histogram"/>
      <sheetName val="ODFL Regression"/>
      <sheetName val="ODFL Sim"/>
      <sheetName val="JKHY"/>
      <sheetName val="JKHY Histogram"/>
      <sheetName val="JKHY Regression"/>
      <sheetName val="Expected Returns"/>
      <sheetName val="JKHY Sim"/>
      <sheetName val="Portfoli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0.08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8" sqref="M8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37"/>
  <sheetViews>
    <sheetView topLeftCell="A14" zoomScale="112" workbookViewId="0">
      <selection activeCell="K18" sqref="K18"/>
    </sheetView>
  </sheetViews>
  <sheetFormatPr baseColWidth="10" defaultColWidth="9.1640625" defaultRowHeight="15" x14ac:dyDescent="0.2"/>
  <cols>
    <col min="1" max="1" width="23.1640625" style="1" customWidth="1"/>
    <col min="2" max="2" width="22" style="1" bestFit="1" customWidth="1"/>
    <col min="3" max="3" width="18.83203125" style="1" customWidth="1"/>
    <col min="4" max="8" width="9.1640625" style="1"/>
    <col min="9" max="10" width="13.5" style="1" bestFit="1" customWidth="1"/>
    <col min="11" max="11" width="11.6640625" style="1" customWidth="1"/>
    <col min="12" max="12" width="11.5" style="1" bestFit="1" customWidth="1"/>
    <col min="13" max="16384" width="9.1640625" style="1"/>
  </cols>
  <sheetData>
    <row r="4" spans="1:13" x14ac:dyDescent="0.2">
      <c r="K4" s="1" t="s">
        <v>4</v>
      </c>
    </row>
    <row r="5" spans="1:13" x14ac:dyDescent="0.2">
      <c r="K5" s="1" t="s">
        <v>5</v>
      </c>
    </row>
    <row r="6" spans="1:13" x14ac:dyDescent="0.2">
      <c r="K6" s="1" t="s">
        <v>6</v>
      </c>
    </row>
    <row r="8" spans="1:13" ht="17" customHeight="1" x14ac:dyDescent="0.2"/>
    <row r="9" spans="1:13" x14ac:dyDescent="0.2">
      <c r="D9" s="1" t="s">
        <v>16</v>
      </c>
      <c r="K9" s="1" t="s">
        <v>7</v>
      </c>
      <c r="L9" s="11">
        <v>0.9</v>
      </c>
      <c r="M9" s="1" t="s">
        <v>8</v>
      </c>
    </row>
    <row r="10" spans="1:13" x14ac:dyDescent="0.2">
      <c r="B10" s="1" t="s">
        <v>13</v>
      </c>
      <c r="D10" s="1" t="s">
        <v>18</v>
      </c>
      <c r="K10" s="1" t="s">
        <v>9</v>
      </c>
      <c r="L10" s="11">
        <v>0.6</v>
      </c>
    </row>
    <row r="11" spans="1:13" x14ac:dyDescent="0.2">
      <c r="B11" s="1" t="s">
        <v>12</v>
      </c>
      <c r="C11" s="1" t="s">
        <v>14</v>
      </c>
      <c r="D11" s="1" t="s">
        <v>24</v>
      </c>
      <c r="E11" s="1" t="s">
        <v>26</v>
      </c>
      <c r="K11" s="1" t="s">
        <v>9</v>
      </c>
      <c r="L11" s="11">
        <v>0.4</v>
      </c>
    </row>
    <row r="12" spans="1:13" x14ac:dyDescent="0.2">
      <c r="A12" s="1" t="s">
        <v>10</v>
      </c>
      <c r="B12" s="11">
        <v>0.12</v>
      </c>
      <c r="C12" s="11">
        <v>0.11</v>
      </c>
      <c r="D12" s="14">
        <v>0.19242914824138801</v>
      </c>
      <c r="E12" s="11">
        <f>D12+D13</f>
        <v>0.99999999999999989</v>
      </c>
    </row>
    <row r="13" spans="1:13" x14ac:dyDescent="0.2">
      <c r="A13" s="1" t="s">
        <v>11</v>
      </c>
      <c r="B13" s="11">
        <v>0.19</v>
      </c>
      <c r="C13" s="12">
        <v>7.4999999999999997E-2</v>
      </c>
      <c r="D13" s="14">
        <v>0.80757085175861187</v>
      </c>
      <c r="E13" s="1" t="s">
        <v>31</v>
      </c>
      <c r="K13" s="1" t="s">
        <v>20</v>
      </c>
    </row>
    <row r="14" spans="1:13" x14ac:dyDescent="0.2">
      <c r="A14" s="1" t="s">
        <v>15</v>
      </c>
      <c r="B14" s="1">
        <v>0.06</v>
      </c>
      <c r="K14" s="1" t="s">
        <v>23</v>
      </c>
    </row>
    <row r="15" spans="1:13" x14ac:dyDescent="0.2">
      <c r="A15" s="1" t="s">
        <v>17</v>
      </c>
      <c r="B15" s="11">
        <v>0.02</v>
      </c>
    </row>
    <row r="17" spans="1:12" x14ac:dyDescent="0.2">
      <c r="A17" s="13" t="s">
        <v>19</v>
      </c>
      <c r="B17" s="14">
        <v>0.15</v>
      </c>
      <c r="I17" s="1" t="s">
        <v>33</v>
      </c>
      <c r="J17" s="1" t="s">
        <v>34</v>
      </c>
      <c r="K17" s="1" t="s">
        <v>35</v>
      </c>
      <c r="L17" s="1" t="s">
        <v>36</v>
      </c>
    </row>
    <row r="18" spans="1:12" x14ac:dyDescent="0.2">
      <c r="I18" s="11">
        <v>-3</v>
      </c>
      <c r="J18" s="11">
        <f>1-I18</f>
        <v>4</v>
      </c>
      <c r="K18" s="15">
        <f>SQRT(I18^2*$C$12^2+J18^2*$C$13^2+2*I18*J18*$C$12*$C$13*$B$14)</f>
        <v>0.43245809045501737</v>
      </c>
      <c r="L18" s="18">
        <f>I18*$B$12+J18*$B$13</f>
        <v>0.4</v>
      </c>
    </row>
    <row r="19" spans="1:12" x14ac:dyDescent="0.2">
      <c r="A19" s="1" t="s">
        <v>21</v>
      </c>
      <c r="B19" s="12">
        <f>D12*B12+D13*B13</f>
        <v>0.17652995962310281</v>
      </c>
      <c r="I19" s="11">
        <v>-2</v>
      </c>
      <c r="J19" s="11">
        <f t="shared" ref="J19:J37" si="0">1-I19</f>
        <v>3</v>
      </c>
      <c r="K19" s="15">
        <f t="shared" ref="K19:K37" si="1">SQRT(I19^2*$C$12^2+J19^2*$C$13^2+2*I19*J19*$C$12*$C$13*$B$14)</f>
        <v>0.30509834480049214</v>
      </c>
      <c r="L19" s="18">
        <f t="shared" ref="L19:L37" si="2">I19*$B$12+J19*$B$13</f>
        <v>0.33000000000000007</v>
      </c>
    </row>
    <row r="20" spans="1:12" x14ac:dyDescent="0.2">
      <c r="A20" s="1" t="s">
        <v>22</v>
      </c>
      <c r="B20" s="15">
        <f>SQRT(D12^2*C12^2+D13^2*C13^2+2*D12*D13*B14*C12*C13)</f>
        <v>6.534796760950673E-2</v>
      </c>
      <c r="I20" s="11">
        <v>-1</v>
      </c>
      <c r="J20" s="11">
        <f t="shared" si="0"/>
        <v>2</v>
      </c>
      <c r="K20" s="15">
        <f t="shared" si="1"/>
        <v>0.18061007723823164</v>
      </c>
      <c r="L20" s="18">
        <f t="shared" si="2"/>
        <v>0.26</v>
      </c>
    </row>
    <row r="21" spans="1:12" x14ac:dyDescent="0.2">
      <c r="A21" s="1" t="s">
        <v>25</v>
      </c>
      <c r="B21" s="16">
        <f>(B19-B15)/B20</f>
        <v>2.3953301892793841</v>
      </c>
      <c r="C21" s="1" t="s">
        <v>30</v>
      </c>
      <c r="I21" s="11">
        <v>-0.8</v>
      </c>
      <c r="J21" s="11">
        <f t="shared" si="0"/>
        <v>1.8</v>
      </c>
      <c r="K21" s="15">
        <f t="shared" si="1"/>
        <v>0.1566633332978716</v>
      </c>
      <c r="L21" s="18">
        <f t="shared" si="2"/>
        <v>0.24600000000000002</v>
      </c>
    </row>
    <row r="22" spans="1:12" x14ac:dyDescent="0.2">
      <c r="I22" s="11">
        <v>-0.6</v>
      </c>
      <c r="J22" s="11">
        <f t="shared" si="0"/>
        <v>1.6</v>
      </c>
      <c r="K22" s="15">
        <f t="shared" si="1"/>
        <v>0.13343762587816077</v>
      </c>
      <c r="L22" s="18">
        <f t="shared" si="2"/>
        <v>0.23200000000000004</v>
      </c>
    </row>
    <row r="23" spans="1:12" x14ac:dyDescent="0.2">
      <c r="A23" s="1" t="s">
        <v>27</v>
      </c>
      <c r="B23" s="12">
        <f>(B17-B15)/(B19-B15)</f>
        <v>0.83051193722286532</v>
      </c>
      <c r="I23" s="11">
        <v>-0.4</v>
      </c>
      <c r="J23" s="11">
        <f t="shared" si="0"/>
        <v>1.4</v>
      </c>
      <c r="K23" s="15">
        <f t="shared" si="1"/>
        <v>0.11138491818913367</v>
      </c>
      <c r="L23" s="18">
        <f t="shared" si="2"/>
        <v>0.21799999999999997</v>
      </c>
    </row>
    <row r="24" spans="1:12" x14ac:dyDescent="0.2">
      <c r="A24" s="1" t="s">
        <v>28</v>
      </c>
      <c r="B24" s="12">
        <f>1-B23</f>
        <v>0.16948806277713468</v>
      </c>
      <c r="I24" s="11">
        <v>-0.2</v>
      </c>
      <c r="J24" s="11">
        <f t="shared" si="0"/>
        <v>1.2</v>
      </c>
      <c r="K24" s="15">
        <f>SQRT(I24^2*$C$12^2+J24^2*$C$13^2+2*I24*J24*$C$12*$C$13*$B$14)</f>
        <v>9.1358633965268984E-2</v>
      </c>
      <c r="L24" s="18">
        <f t="shared" si="2"/>
        <v>0.20399999999999999</v>
      </c>
    </row>
    <row r="25" spans="1:12" x14ac:dyDescent="0.2">
      <c r="A25" s="13" t="s">
        <v>29</v>
      </c>
      <c r="B25" s="17">
        <f>B23*B19+B24*B15</f>
        <v>0.15</v>
      </c>
      <c r="C25" s="1" t="s">
        <v>32</v>
      </c>
      <c r="I25" s="11">
        <v>0</v>
      </c>
      <c r="J25" s="11">
        <f t="shared" si="0"/>
        <v>1</v>
      </c>
      <c r="K25" s="15">
        <f t="shared" si="1"/>
        <v>7.4999999999999997E-2</v>
      </c>
      <c r="L25" s="18">
        <f t="shared" si="2"/>
        <v>0.19</v>
      </c>
    </row>
    <row r="26" spans="1:12" x14ac:dyDescent="0.2">
      <c r="I26" s="11">
        <v>0.1</v>
      </c>
      <c r="J26" s="11">
        <f t="shared" si="0"/>
        <v>0.9</v>
      </c>
      <c r="K26" s="15">
        <f t="shared" si="1"/>
        <v>6.9038757230993092E-2</v>
      </c>
      <c r="L26" s="18">
        <f t="shared" si="2"/>
        <v>0.18300000000000002</v>
      </c>
    </row>
    <row r="27" spans="1:12" x14ac:dyDescent="0.2">
      <c r="I27" s="11">
        <v>0.2</v>
      </c>
      <c r="J27" s="11">
        <f t="shared" si="0"/>
        <v>0.8</v>
      </c>
      <c r="K27" s="15">
        <f t="shared" si="1"/>
        <v>6.5133708630785034E-2</v>
      </c>
      <c r="L27" s="18">
        <f t="shared" si="2"/>
        <v>0.17600000000000002</v>
      </c>
    </row>
    <row r="28" spans="1:12" x14ac:dyDescent="0.2">
      <c r="I28" s="11">
        <v>0.3</v>
      </c>
      <c r="J28" s="11">
        <f t="shared" si="0"/>
        <v>0.7</v>
      </c>
      <c r="K28" s="15">
        <f t="shared" si="1"/>
        <v>6.3664354233746848E-2</v>
      </c>
      <c r="L28" s="18">
        <f t="shared" si="2"/>
        <v>0.16899999999999998</v>
      </c>
    </row>
    <row r="29" spans="1:12" x14ac:dyDescent="0.2">
      <c r="I29" s="11">
        <v>0.4</v>
      </c>
      <c r="J29" s="11">
        <f t="shared" si="0"/>
        <v>0.6</v>
      </c>
      <c r="K29" s="15">
        <f t="shared" si="1"/>
        <v>6.4796604849328338E-2</v>
      </c>
      <c r="L29" s="18">
        <f t="shared" si="2"/>
        <v>0.16199999999999998</v>
      </c>
    </row>
    <row r="30" spans="1:12" x14ac:dyDescent="0.2">
      <c r="I30" s="11">
        <v>0.5</v>
      </c>
      <c r="J30" s="11">
        <f t="shared" si="0"/>
        <v>0.5</v>
      </c>
      <c r="K30" s="15">
        <f t="shared" si="1"/>
        <v>6.8401388874788208E-2</v>
      </c>
      <c r="L30" s="18">
        <f t="shared" si="2"/>
        <v>0.155</v>
      </c>
    </row>
    <row r="31" spans="1:12" x14ac:dyDescent="0.2">
      <c r="I31" s="11">
        <v>0.6</v>
      </c>
      <c r="J31" s="11">
        <f t="shared" si="0"/>
        <v>0.4</v>
      </c>
      <c r="K31" s="15">
        <f t="shared" si="1"/>
        <v>7.4118823520074845E-2</v>
      </c>
      <c r="L31" s="18">
        <f t="shared" si="2"/>
        <v>0.14800000000000002</v>
      </c>
    </row>
    <row r="32" spans="1:12" x14ac:dyDescent="0.2">
      <c r="I32" s="11">
        <v>0.7</v>
      </c>
      <c r="J32" s="11">
        <f t="shared" si="0"/>
        <v>0.30000000000000004</v>
      </c>
      <c r="K32" s="15">
        <f t="shared" si="1"/>
        <v>8.1505521285370586E-2</v>
      </c>
      <c r="L32" s="18">
        <f t="shared" si="2"/>
        <v>0.14100000000000001</v>
      </c>
    </row>
    <row r="33" spans="9:12" x14ac:dyDescent="0.2">
      <c r="I33" s="11">
        <v>0.8</v>
      </c>
      <c r="J33" s="11">
        <f t="shared" si="0"/>
        <v>0.19999999999999996</v>
      </c>
      <c r="K33" s="15">
        <f t="shared" si="1"/>
        <v>9.0152093708354877E-2</v>
      </c>
      <c r="L33" s="18">
        <f t="shared" si="2"/>
        <v>0.13400000000000001</v>
      </c>
    </row>
    <row r="34" spans="9:12" x14ac:dyDescent="0.2">
      <c r="I34" s="11">
        <v>0.9</v>
      </c>
      <c r="J34" s="11">
        <f t="shared" si="0"/>
        <v>9.9999999999999978E-2</v>
      </c>
      <c r="K34" s="15">
        <f t="shared" si="1"/>
        <v>9.9731389241301566E-2</v>
      </c>
      <c r="L34" s="18">
        <f t="shared" si="2"/>
        <v>0.127</v>
      </c>
    </row>
    <row r="35" spans="9:12" x14ac:dyDescent="0.2">
      <c r="I35" s="11">
        <v>1</v>
      </c>
      <c r="J35" s="11">
        <f t="shared" si="0"/>
        <v>0</v>
      </c>
      <c r="K35" s="15">
        <f t="shared" si="1"/>
        <v>0.11</v>
      </c>
      <c r="L35" s="18">
        <f t="shared" si="2"/>
        <v>0.12</v>
      </c>
    </row>
    <row r="36" spans="9:12" x14ac:dyDescent="0.2">
      <c r="I36" s="11">
        <v>2</v>
      </c>
      <c r="J36" s="11">
        <f t="shared" si="0"/>
        <v>-1</v>
      </c>
      <c r="K36" s="15">
        <f t="shared" si="1"/>
        <v>0.22813373270956663</v>
      </c>
      <c r="L36" s="18">
        <f t="shared" si="2"/>
        <v>4.9999999999999989E-2</v>
      </c>
    </row>
    <row r="37" spans="9:12" x14ac:dyDescent="0.2">
      <c r="I37" s="11">
        <v>3</v>
      </c>
      <c r="J37" s="11">
        <f t="shared" si="0"/>
        <v>-2</v>
      </c>
      <c r="K37" s="15">
        <f t="shared" si="1"/>
        <v>0.3542033314354906</v>
      </c>
      <c r="L37" s="18">
        <f t="shared" si="2"/>
        <v>-2.0000000000000018E-2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J42"/>
  <sheetViews>
    <sheetView tabSelected="1" zoomScale="116" workbookViewId="0">
      <selection activeCell="I34" sqref="I34"/>
    </sheetView>
  </sheetViews>
  <sheetFormatPr baseColWidth="10" defaultColWidth="9.1640625" defaultRowHeight="15" x14ac:dyDescent="0.2"/>
  <cols>
    <col min="1" max="1" width="15" style="1" bestFit="1" customWidth="1"/>
    <col min="2" max="2" width="10.5" style="1" bestFit="1" customWidth="1"/>
    <col min="3" max="16384" width="9.1640625" style="1"/>
  </cols>
  <sheetData>
    <row r="9" spans="1:6" x14ac:dyDescent="0.2">
      <c r="A9" s="2" t="s">
        <v>0</v>
      </c>
    </row>
    <row r="10" spans="1:6" x14ac:dyDescent="0.2">
      <c r="A10" s="3" t="s">
        <v>3</v>
      </c>
      <c r="B10" s="8">
        <v>0.12</v>
      </c>
      <c r="C10" s="8">
        <v>0.2</v>
      </c>
      <c r="D10" s="8">
        <v>0.14000000000000001</v>
      </c>
      <c r="E10" s="8">
        <v>0.16</v>
      </c>
      <c r="F10" s="8">
        <v>0.1</v>
      </c>
    </row>
    <row r="11" spans="1:6" x14ac:dyDescent="0.2">
      <c r="A11" s="5" t="s">
        <v>1</v>
      </c>
      <c r="B11" s="9">
        <v>0.11</v>
      </c>
      <c r="C11" s="9">
        <v>7.4999999999999997E-2</v>
      </c>
      <c r="D11" s="9">
        <v>0.1</v>
      </c>
      <c r="E11" s="9">
        <v>0.13</v>
      </c>
      <c r="F11" s="9">
        <v>0.08</v>
      </c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7" t="s">
        <v>2</v>
      </c>
      <c r="B13" s="7">
        <v>1</v>
      </c>
      <c r="C13" s="7">
        <v>2</v>
      </c>
      <c r="D13" s="7">
        <v>3</v>
      </c>
      <c r="E13" s="7">
        <v>4</v>
      </c>
      <c r="F13" s="7">
        <v>5</v>
      </c>
    </row>
    <row r="14" spans="1:6" x14ac:dyDescent="0.2">
      <c r="A14" s="3">
        <v>1</v>
      </c>
      <c r="B14" s="4">
        <v>1</v>
      </c>
      <c r="C14" s="4">
        <v>6.5000000000000002E-2</v>
      </c>
      <c r="D14" s="4">
        <v>5.6000000000000001E-2</v>
      </c>
      <c r="E14" s="4">
        <v>8.4000000000000005E-2</v>
      </c>
      <c r="F14" s="4">
        <v>0.10199999999999999</v>
      </c>
    </row>
    <row r="15" spans="1:6" x14ac:dyDescent="0.2">
      <c r="A15" s="3">
        <v>2</v>
      </c>
      <c r="B15" s="4"/>
      <c r="C15" s="4">
        <v>1</v>
      </c>
      <c r="D15" s="4">
        <v>7.9000000000000001E-2</v>
      </c>
      <c r="E15" s="4">
        <v>9.6000000000000002E-2</v>
      </c>
      <c r="F15" s="4">
        <v>0.13600000000000001</v>
      </c>
    </row>
    <row r="16" spans="1:6" x14ac:dyDescent="0.2">
      <c r="A16" s="3">
        <v>3</v>
      </c>
      <c r="B16" s="4"/>
      <c r="C16" s="4"/>
      <c r="D16" s="4">
        <v>1</v>
      </c>
      <c r="E16" s="4">
        <v>0.115</v>
      </c>
      <c r="F16" s="4">
        <v>7.6999999999999999E-2</v>
      </c>
    </row>
    <row r="17" spans="1:10" x14ac:dyDescent="0.2">
      <c r="A17" s="3">
        <v>4</v>
      </c>
      <c r="B17" s="4"/>
      <c r="C17" s="4"/>
      <c r="D17" s="4"/>
      <c r="E17" s="4">
        <v>1</v>
      </c>
      <c r="F17" s="4">
        <v>0.123</v>
      </c>
    </row>
    <row r="18" spans="1:10" x14ac:dyDescent="0.2">
      <c r="A18" s="5">
        <v>5</v>
      </c>
      <c r="B18" s="6"/>
      <c r="C18" s="6"/>
      <c r="D18" s="6"/>
      <c r="E18" s="6"/>
      <c r="F18" s="6">
        <v>1</v>
      </c>
    </row>
    <row r="20" spans="1:10" x14ac:dyDescent="0.2">
      <c r="A20" s="1" t="s">
        <v>37</v>
      </c>
      <c r="B20" s="19">
        <v>0.2</v>
      </c>
      <c r="C20" s="19">
        <v>0.2</v>
      </c>
      <c r="D20" s="19">
        <v>0.2</v>
      </c>
      <c r="E20" s="19">
        <v>0.2</v>
      </c>
      <c r="F20" s="19">
        <v>0.2</v>
      </c>
    </row>
    <row r="21" spans="1:10" x14ac:dyDescent="0.2">
      <c r="A21" s="1" t="s">
        <v>38</v>
      </c>
      <c r="B21" s="11">
        <f>SUM(B20:F20)</f>
        <v>1</v>
      </c>
      <c r="C21" s="1" t="s">
        <v>39</v>
      </c>
    </row>
    <row r="23" spans="1:10" x14ac:dyDescent="0.2">
      <c r="A23" s="1" t="s">
        <v>40</v>
      </c>
      <c r="B23" s="20">
        <f>B20*B10+C20*C10+D20*D10+E20*E10+F20*F10</f>
        <v>0.14400000000000002</v>
      </c>
      <c r="C23" s="20" cm="1">
        <f t="array" ref="C23">SUM(B20:F20*B10:F10)</f>
        <v>0.14400000000000002</v>
      </c>
      <c r="D23" s="1" t="s">
        <v>42</v>
      </c>
    </row>
    <row r="24" spans="1:10" x14ac:dyDescent="0.2">
      <c r="A24" s="1" t="s">
        <v>41</v>
      </c>
      <c r="B24" s="11">
        <v>0.16</v>
      </c>
    </row>
    <row r="26" spans="1:10" x14ac:dyDescent="0.2">
      <c r="A26" s="1" t="s">
        <v>43</v>
      </c>
      <c r="B26" s="2">
        <v>1</v>
      </c>
      <c r="C26" s="2">
        <v>2</v>
      </c>
      <c r="D26" s="2">
        <v>3</v>
      </c>
      <c r="E26" s="2">
        <v>4</v>
      </c>
      <c r="F26" s="2">
        <v>5</v>
      </c>
    </row>
    <row r="27" spans="1:10" x14ac:dyDescent="0.2">
      <c r="A27" s="3">
        <v>1</v>
      </c>
      <c r="B27" s="1">
        <f>B14*$B$11*B11</f>
        <v>1.21E-2</v>
      </c>
      <c r="C27" s="1">
        <f t="shared" ref="C27:F27" si="0">C14*$B$11*C11</f>
        <v>5.3624999999999994E-4</v>
      </c>
      <c r="D27" s="1">
        <f t="shared" si="0"/>
        <v>6.1600000000000012E-4</v>
      </c>
      <c r="E27" s="1">
        <f t="shared" si="0"/>
        <v>1.2012000000000001E-3</v>
      </c>
      <c r="F27" s="1">
        <f t="shared" si="0"/>
        <v>8.9759999999999992E-4</v>
      </c>
    </row>
    <row r="28" spans="1:10" x14ac:dyDescent="0.2">
      <c r="A28" s="3">
        <v>2</v>
      </c>
      <c r="B28" s="1">
        <f>C27</f>
        <v>5.3624999999999994E-4</v>
      </c>
      <c r="C28" s="1">
        <f>C15*$C$11*C11</f>
        <v>5.6249999999999998E-3</v>
      </c>
      <c r="D28" s="21">
        <f t="shared" ref="D28:F28" si="1">D15*$C$11*D11</f>
        <v>5.9250000000000004E-4</v>
      </c>
      <c r="E28" s="1">
        <f t="shared" si="1"/>
        <v>9.3599999999999998E-4</v>
      </c>
      <c r="F28" s="1">
        <f t="shared" si="1"/>
        <v>8.160000000000001E-4</v>
      </c>
      <c r="J28" s="1" t="s">
        <v>46</v>
      </c>
    </row>
    <row r="29" spans="1:10" x14ac:dyDescent="0.2">
      <c r="A29" s="3">
        <v>3</v>
      </c>
      <c r="B29" s="1">
        <f>D27</f>
        <v>6.1600000000000012E-4</v>
      </c>
      <c r="C29" s="21">
        <f>D28</f>
        <v>5.9250000000000004E-4</v>
      </c>
      <c r="D29" s="1">
        <f>D16*$D$11*D11</f>
        <v>1.0000000000000002E-2</v>
      </c>
      <c r="E29" s="1">
        <f t="shared" ref="E29:F29" si="2">E16*$D$11*E11</f>
        <v>1.4950000000000002E-3</v>
      </c>
      <c r="F29" s="1">
        <f t="shared" si="2"/>
        <v>6.1600000000000001E-4</v>
      </c>
      <c r="J29" s="1" t="s">
        <v>47</v>
      </c>
    </row>
    <row r="30" spans="1:10" x14ac:dyDescent="0.2">
      <c r="A30" s="3">
        <v>4</v>
      </c>
      <c r="B30" s="1">
        <f>E27</f>
        <v>1.2012000000000001E-3</v>
      </c>
      <c r="C30" s="1">
        <f>E28</f>
        <v>9.3599999999999998E-4</v>
      </c>
      <c r="D30" s="1">
        <f>E29</f>
        <v>1.4950000000000002E-3</v>
      </c>
      <c r="E30" s="1">
        <f>E17*$E$11*E11</f>
        <v>1.6900000000000002E-2</v>
      </c>
      <c r="F30" s="1">
        <f>F17*$E$11*F11</f>
        <v>1.2792000000000001E-3</v>
      </c>
      <c r="J30" s="1" t="s">
        <v>48</v>
      </c>
    </row>
    <row r="31" spans="1:10" x14ac:dyDescent="0.2">
      <c r="A31" s="5">
        <v>5</v>
      </c>
      <c r="B31" s="1">
        <f>F27</f>
        <v>8.9759999999999992E-4</v>
      </c>
      <c r="C31" s="1">
        <f>F28</f>
        <v>8.160000000000001E-4</v>
      </c>
      <c r="D31" s="1">
        <f>F29</f>
        <v>6.1600000000000001E-4</v>
      </c>
      <c r="E31" s="1">
        <f>F30</f>
        <v>1.2792000000000001E-3</v>
      </c>
      <c r="F31" s="1">
        <f>F18*$F$11*$F$11</f>
        <v>6.4000000000000003E-3</v>
      </c>
      <c r="J31" s="1" t="s">
        <v>49</v>
      </c>
    </row>
    <row r="34" spans="1:6" x14ac:dyDescent="0.2">
      <c r="B34" s="2">
        <v>1</v>
      </c>
      <c r="C34" s="2">
        <v>2</v>
      </c>
      <c r="D34" s="2">
        <v>3</v>
      </c>
      <c r="E34" s="2">
        <v>4</v>
      </c>
      <c r="F34" s="2">
        <v>5</v>
      </c>
    </row>
    <row r="35" spans="1:6" x14ac:dyDescent="0.2">
      <c r="A35" s="3">
        <v>1</v>
      </c>
      <c r="B35" s="1">
        <f>B27*$B$20*B20</f>
        <v>4.8400000000000006E-4</v>
      </c>
      <c r="C35" s="1">
        <f t="shared" ref="C35:F35" si="3">C27*$B$20*C20</f>
        <v>2.145E-5</v>
      </c>
      <c r="D35" s="1">
        <f t="shared" si="3"/>
        <v>2.4640000000000008E-5</v>
      </c>
      <c r="E35" s="1">
        <f t="shared" si="3"/>
        <v>4.8048000000000012E-5</v>
      </c>
      <c r="F35" s="1">
        <f t="shared" si="3"/>
        <v>3.5904E-5</v>
      </c>
    </row>
    <row r="36" spans="1:6" x14ac:dyDescent="0.2">
      <c r="A36" s="3">
        <v>2</v>
      </c>
      <c r="B36" s="1">
        <f>B28*$C$20*B20</f>
        <v>2.145E-5</v>
      </c>
      <c r="C36" s="1">
        <f t="shared" ref="C36:F36" si="4">C28*$C$20*C20</f>
        <v>2.2499999999999999E-4</v>
      </c>
      <c r="D36" s="1">
        <f t="shared" si="4"/>
        <v>2.3700000000000003E-5</v>
      </c>
      <c r="E36" s="1">
        <f t="shared" si="4"/>
        <v>3.7440000000000001E-5</v>
      </c>
      <c r="F36" s="1">
        <f t="shared" si="4"/>
        <v>3.2640000000000006E-5</v>
      </c>
    </row>
    <row r="37" spans="1:6" x14ac:dyDescent="0.2">
      <c r="A37" s="3">
        <v>3</v>
      </c>
      <c r="B37" s="1">
        <f>B29*$D$20*B20</f>
        <v>2.4640000000000008E-5</v>
      </c>
      <c r="C37" s="1">
        <f t="shared" ref="C37:F37" si="5">C29*$D$20*C20</f>
        <v>2.3700000000000003E-5</v>
      </c>
      <c r="D37" s="1">
        <f t="shared" si="5"/>
        <v>4.0000000000000013E-4</v>
      </c>
      <c r="E37" s="1">
        <f t="shared" si="5"/>
        <v>5.9800000000000017E-5</v>
      </c>
      <c r="F37" s="1">
        <f t="shared" si="5"/>
        <v>2.4640000000000005E-5</v>
      </c>
    </row>
    <row r="38" spans="1:6" x14ac:dyDescent="0.2">
      <c r="A38" s="3">
        <v>4</v>
      </c>
      <c r="B38" s="1">
        <f>B30*$E$20*B20</f>
        <v>4.8048000000000012E-5</v>
      </c>
      <c r="C38" s="1">
        <f t="shared" ref="C38:F38" si="6">C30*$E$20*C20</f>
        <v>3.7440000000000001E-5</v>
      </c>
      <c r="D38" s="1">
        <f t="shared" si="6"/>
        <v>5.9800000000000017E-5</v>
      </c>
      <c r="E38" s="1">
        <f t="shared" si="6"/>
        <v>6.7600000000000017E-4</v>
      </c>
      <c r="F38" s="1">
        <f t="shared" si="6"/>
        <v>5.1168000000000009E-5</v>
      </c>
    </row>
    <row r="39" spans="1:6" x14ac:dyDescent="0.2">
      <c r="A39" s="5">
        <v>5</v>
      </c>
      <c r="B39" s="1">
        <f>B31*$F$20*B20</f>
        <v>3.5904E-5</v>
      </c>
      <c r="C39" s="1">
        <f t="shared" ref="C39:F39" si="7">C31*$F$20*C20</f>
        <v>3.2640000000000006E-5</v>
      </c>
      <c r="D39" s="1">
        <f t="shared" si="7"/>
        <v>2.4640000000000005E-5</v>
      </c>
      <c r="E39" s="1">
        <f t="shared" si="7"/>
        <v>5.1168000000000009E-5</v>
      </c>
      <c r="F39" s="1">
        <f t="shared" si="7"/>
        <v>2.5600000000000004E-4</v>
      </c>
    </row>
    <row r="41" spans="1:6" x14ac:dyDescent="0.2">
      <c r="A41" s="1" t="s">
        <v>44</v>
      </c>
      <c r="B41" s="1">
        <f>SUM(B35:F39)</f>
        <v>2.7598599999999998E-3</v>
      </c>
    </row>
    <row r="42" spans="1:6" x14ac:dyDescent="0.2">
      <c r="A42" s="1" t="s">
        <v>45</v>
      </c>
      <c r="B42" s="15">
        <f>SQRT(B41)</f>
        <v>5.253436970212929E-2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13B0-5102-6042-A349-791AAF1F0CD0}">
  <dimension ref="A1"/>
  <sheetViews>
    <sheetView workbookViewId="0">
      <selection activeCell="A3" sqref="A3"/>
    </sheetView>
  </sheetViews>
  <sheetFormatPr baseColWidth="10" defaultRowHeight="15" x14ac:dyDescent="0.2"/>
  <cols>
    <col min="1" max="16384" width="10.83203125" style="1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Outline</vt:lpstr>
      <vt:lpstr>2 Risky+risk-free</vt:lpstr>
      <vt:lpstr>Many Risky</vt:lpstr>
      <vt:lpstr>Notes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2025-12-28T04:13:01Z</dcterms:modified>
</cp:coreProperties>
</file>