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nicole15/Downloads/"/>
    </mc:Choice>
  </mc:AlternateContent>
  <xr:revisionPtr revIDLastSave="0" documentId="8_{973DD449-E630-6545-826A-044241C8737B}" xr6:coauthVersionLast="47" xr6:coauthVersionMax="47" xr10:uidLastSave="{00000000-0000-0000-0000-000000000000}"/>
  <bookViews>
    <workbookView xWindow="29400" yWindow="500" windowWidth="38400" windowHeight="20020" firstSheet="1" activeTab="12" xr2:uid="{2BAAAD0D-F332-A342-BE3E-8D777D41A176}"/>
  </bookViews>
  <sheets>
    <sheet name="Info ODFL" sheetId="4" r:id="rId1"/>
    <sheet name="Info JKHY" sheetId="5" r:id="rId2"/>
    <sheet name="Info VOO" sheetId="8" r:id="rId3"/>
    <sheet name="ODFL" sheetId="3" r:id="rId4"/>
    <sheet name="ODFL Histogram" sheetId="6" r:id="rId5"/>
    <sheet name="ODFL Regression" sheetId="9" r:id="rId6"/>
    <sheet name="ODFL Sim" sheetId="12" r:id="rId7"/>
    <sheet name="JKHY" sheetId="2" r:id="rId8"/>
    <sheet name="JKHY Histogram" sheetId="7" r:id="rId9"/>
    <sheet name="JKHY Regression" sheetId="10" r:id="rId10"/>
    <sheet name="Expected Returns" sheetId="11" r:id="rId11"/>
    <sheet name="JKHY Sim" sheetId="13" r:id="rId12"/>
    <sheet name="Portfolio " sheetId="14" r:id="rId13"/>
  </sheets>
  <definedNames>
    <definedName name="_xlchart.v1.0" hidden="1">'ODFL Histogram'!$A$1</definedName>
    <definedName name="_xlchart.v1.1" hidden="1">'ODFL Histogram'!$A$2:$A$26</definedName>
    <definedName name="_xlchart.v1.2" hidden="1">'ODFL Histogram'!$B$1</definedName>
    <definedName name="_xlchart.v1.3" hidden="1">'ODFL Histogram'!$B$2:$B$26</definedName>
    <definedName name="_xlchart.v1.4" hidden="1">'JKHY Histogram'!$A$1</definedName>
    <definedName name="_xlchart.v1.5" hidden="1">'JKHY Histogram'!$A$2:$A$15</definedName>
    <definedName name="_xlchart.v1.6" hidden="1">'JKHY Histogram'!$B$1</definedName>
    <definedName name="_xlchart.v1.7" hidden="1">'JKHY Histogram'!$B$2:$B$15</definedName>
    <definedName name="solver_adj" localSheetId="12" hidden="1">'Portfolio '!$D$12:$D$13</definedName>
    <definedName name="solver_cvg" localSheetId="12" hidden="1">0.0001</definedName>
    <definedName name="solver_drv" localSheetId="12" hidden="1">1</definedName>
    <definedName name="solver_eng" localSheetId="12" hidden="1">1</definedName>
    <definedName name="solver_itr" localSheetId="12" hidden="1">2147483647</definedName>
    <definedName name="solver_lhs1" localSheetId="12" hidden="1">'Portfolio '!$B$17</definedName>
    <definedName name="solver_lhs2" localSheetId="12" hidden="1">'Portfolio '!$E$12</definedName>
    <definedName name="solver_lin" localSheetId="12" hidden="1">2</definedName>
    <definedName name="solver_mip" localSheetId="12" hidden="1">2147483647</definedName>
    <definedName name="solver_mni" localSheetId="12" hidden="1">30</definedName>
    <definedName name="solver_mrt" localSheetId="12" hidden="1">0.075</definedName>
    <definedName name="solver_msl" localSheetId="12" hidden="1">2</definedName>
    <definedName name="solver_neg" localSheetId="12" hidden="1">1</definedName>
    <definedName name="solver_nod" localSheetId="12" hidden="1">2147483647</definedName>
    <definedName name="solver_num" localSheetId="12" hidden="1">2</definedName>
    <definedName name="solver_opt" localSheetId="12" hidden="1">'Portfolio '!$B$21</definedName>
    <definedName name="solver_pre" localSheetId="12" hidden="1">0.000001</definedName>
    <definedName name="solver_rbv" localSheetId="12" hidden="1">1</definedName>
    <definedName name="solver_rel1" localSheetId="12" hidden="1">2</definedName>
    <definedName name="solver_rel2" localSheetId="12" hidden="1">2</definedName>
    <definedName name="solver_rhs1" localSheetId="12" hidden="1">'Portfolio '!$B$25</definedName>
    <definedName name="solver_rhs2" localSheetId="12" hidden="1">1</definedName>
    <definedName name="solver_rlx" localSheetId="12" hidden="1">2</definedName>
    <definedName name="solver_rsd" localSheetId="12" hidden="1">0</definedName>
    <definedName name="solver_scl" localSheetId="12" hidden="1">1</definedName>
    <definedName name="solver_sho" localSheetId="12" hidden="1">2</definedName>
    <definedName name="solver_ssz" localSheetId="12" hidden="1">100</definedName>
    <definedName name="solver_tim" localSheetId="12" hidden="1">2147483647</definedName>
    <definedName name="solver_tol" localSheetId="12" hidden="1">0.01</definedName>
    <definedName name="solver_typ" localSheetId="12" hidden="1">1</definedName>
    <definedName name="solver_val" localSheetId="12" hidden="1">0</definedName>
    <definedName name="solver_ver" localSheetId="12" hidden="1">2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4" l="1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19" i="14"/>
  <c r="F38" i="14" l="1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E12" i="14" l="1"/>
  <c r="B23" i="14"/>
  <c r="B24" i="14" s="1"/>
  <c r="B19" i="14"/>
  <c r="X4" i="14"/>
  <c r="B14" i="14" s="1"/>
  <c r="G24" i="14" l="1"/>
  <c r="G32" i="14"/>
  <c r="G26" i="14"/>
  <c r="G34" i="14"/>
  <c r="G23" i="14"/>
  <c r="G28" i="14"/>
  <c r="G36" i="14"/>
  <c r="G25" i="14"/>
  <c r="G31" i="14"/>
  <c r="G21" i="14"/>
  <c r="G33" i="14"/>
  <c r="G29" i="14"/>
  <c r="G19" i="14"/>
  <c r="G27" i="14"/>
  <c r="G22" i="14"/>
  <c r="G35" i="14"/>
  <c r="G30" i="14"/>
  <c r="G20" i="14"/>
  <c r="G38" i="14"/>
  <c r="B20" i="14"/>
  <c r="B25" i="14" s="1"/>
  <c r="G37" i="14"/>
  <c r="B21" i="14"/>
  <c r="F12" i="13"/>
  <c r="E14" i="13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3" i="13"/>
  <c r="E12" i="13"/>
  <c r="B8" i="13"/>
  <c r="B8" i="12"/>
  <c r="D12" i="13"/>
  <c r="B5" i="13"/>
  <c r="B5" i="12"/>
  <c r="D12" i="12"/>
  <c r="B112" i="13"/>
  <c r="C112" i="13" s="1"/>
  <c r="B111" i="13"/>
  <c r="C111" i="13" s="1"/>
  <c r="B110" i="13"/>
  <c r="C110" i="13" s="1"/>
  <c r="B109" i="13"/>
  <c r="C109" i="13" s="1"/>
  <c r="B108" i="13"/>
  <c r="C108" i="13" s="1"/>
  <c r="B107" i="13"/>
  <c r="C107" i="13" s="1"/>
  <c r="B106" i="13"/>
  <c r="C106" i="13" s="1"/>
  <c r="B105" i="13"/>
  <c r="C105" i="13" s="1"/>
  <c r="B104" i="13"/>
  <c r="C104" i="13" s="1"/>
  <c r="B103" i="13"/>
  <c r="C103" i="13" s="1"/>
  <c r="B102" i="13"/>
  <c r="C102" i="13" s="1"/>
  <c r="B101" i="13"/>
  <c r="C101" i="13" s="1"/>
  <c r="B100" i="13"/>
  <c r="C100" i="13" s="1"/>
  <c r="B99" i="13"/>
  <c r="C99" i="13" s="1"/>
  <c r="B98" i="13"/>
  <c r="C98" i="13" s="1"/>
  <c r="B97" i="13"/>
  <c r="C97" i="13" s="1"/>
  <c r="B96" i="13"/>
  <c r="C96" i="13" s="1"/>
  <c r="B95" i="13"/>
  <c r="C95" i="13" s="1"/>
  <c r="B94" i="13"/>
  <c r="C94" i="13" s="1"/>
  <c r="B93" i="13"/>
  <c r="C93" i="13" s="1"/>
  <c r="B92" i="13"/>
  <c r="C92" i="13" s="1"/>
  <c r="B91" i="13"/>
  <c r="C91" i="13" s="1"/>
  <c r="B90" i="13"/>
  <c r="C90" i="13" s="1"/>
  <c r="B89" i="13"/>
  <c r="C89" i="13" s="1"/>
  <c r="B88" i="13"/>
  <c r="C88" i="13" s="1"/>
  <c r="B87" i="13"/>
  <c r="C87" i="13" s="1"/>
  <c r="B86" i="13"/>
  <c r="C86" i="13" s="1"/>
  <c r="B85" i="13"/>
  <c r="C85" i="13" s="1"/>
  <c r="B84" i="13"/>
  <c r="C84" i="13" s="1"/>
  <c r="B83" i="13"/>
  <c r="C83" i="13" s="1"/>
  <c r="B82" i="13"/>
  <c r="C82" i="13" s="1"/>
  <c r="B81" i="13"/>
  <c r="C81" i="13" s="1"/>
  <c r="B80" i="13"/>
  <c r="C80" i="13" s="1"/>
  <c r="B79" i="13"/>
  <c r="C79" i="13" s="1"/>
  <c r="B78" i="13"/>
  <c r="C78" i="13" s="1"/>
  <c r="B77" i="13"/>
  <c r="C77" i="13" s="1"/>
  <c r="B76" i="13"/>
  <c r="C76" i="13" s="1"/>
  <c r="B75" i="13"/>
  <c r="C75" i="13" s="1"/>
  <c r="B74" i="13"/>
  <c r="C74" i="13" s="1"/>
  <c r="B73" i="13"/>
  <c r="C73" i="13" s="1"/>
  <c r="B72" i="13"/>
  <c r="C72" i="13" s="1"/>
  <c r="B71" i="13"/>
  <c r="C71" i="13" s="1"/>
  <c r="B70" i="13"/>
  <c r="C70" i="13" s="1"/>
  <c r="B69" i="13"/>
  <c r="C69" i="13" s="1"/>
  <c r="B68" i="13"/>
  <c r="C68" i="13" s="1"/>
  <c r="B67" i="13"/>
  <c r="C67" i="13" s="1"/>
  <c r="B66" i="13"/>
  <c r="C66" i="13" s="1"/>
  <c r="B65" i="13"/>
  <c r="C65" i="13" s="1"/>
  <c r="B64" i="13"/>
  <c r="C64" i="13" s="1"/>
  <c r="B63" i="13"/>
  <c r="C63" i="13" s="1"/>
  <c r="B62" i="13"/>
  <c r="C62" i="13" s="1"/>
  <c r="B61" i="13"/>
  <c r="C61" i="13" s="1"/>
  <c r="B60" i="13"/>
  <c r="C60" i="13" s="1"/>
  <c r="B59" i="13"/>
  <c r="C59" i="13" s="1"/>
  <c r="B58" i="13"/>
  <c r="C58" i="13" s="1"/>
  <c r="B57" i="13"/>
  <c r="C57" i="13" s="1"/>
  <c r="B56" i="13"/>
  <c r="C56" i="13" s="1"/>
  <c r="B55" i="13"/>
  <c r="C55" i="13" s="1"/>
  <c r="B54" i="13"/>
  <c r="C54" i="13" s="1"/>
  <c r="B53" i="13"/>
  <c r="C53" i="13" s="1"/>
  <c r="B52" i="13"/>
  <c r="C52" i="13" s="1"/>
  <c r="B51" i="13"/>
  <c r="C51" i="13" s="1"/>
  <c r="B50" i="13"/>
  <c r="C50" i="13" s="1"/>
  <c r="B49" i="13"/>
  <c r="C49" i="13" s="1"/>
  <c r="B48" i="13"/>
  <c r="C48" i="13" s="1"/>
  <c r="B47" i="13"/>
  <c r="C47" i="13" s="1"/>
  <c r="B46" i="13"/>
  <c r="C46" i="13" s="1"/>
  <c r="B45" i="13"/>
  <c r="C45" i="13" s="1"/>
  <c r="B44" i="13"/>
  <c r="C44" i="13" s="1"/>
  <c r="B43" i="13"/>
  <c r="C43" i="13" s="1"/>
  <c r="B42" i="13"/>
  <c r="C42" i="13" s="1"/>
  <c r="B41" i="13"/>
  <c r="C41" i="13" s="1"/>
  <c r="B40" i="13"/>
  <c r="C40" i="13" s="1"/>
  <c r="B39" i="13"/>
  <c r="C39" i="13" s="1"/>
  <c r="B38" i="13"/>
  <c r="C38" i="13" s="1"/>
  <c r="B37" i="13"/>
  <c r="C37" i="13" s="1"/>
  <c r="B36" i="13"/>
  <c r="C36" i="13" s="1"/>
  <c r="B35" i="13"/>
  <c r="C35" i="13" s="1"/>
  <c r="B34" i="13"/>
  <c r="C34" i="13" s="1"/>
  <c r="B33" i="13"/>
  <c r="C33" i="13" s="1"/>
  <c r="B32" i="13"/>
  <c r="C32" i="13" s="1"/>
  <c r="B31" i="13"/>
  <c r="C31" i="13" s="1"/>
  <c r="B30" i="13"/>
  <c r="C30" i="13" s="1"/>
  <c r="B29" i="13"/>
  <c r="C29" i="13" s="1"/>
  <c r="B28" i="13"/>
  <c r="C28" i="13" s="1"/>
  <c r="B27" i="13"/>
  <c r="C27" i="13" s="1"/>
  <c r="B26" i="13"/>
  <c r="C26" i="13" s="1"/>
  <c r="B25" i="13"/>
  <c r="C25" i="13" s="1"/>
  <c r="B24" i="13"/>
  <c r="C24" i="13" s="1"/>
  <c r="B23" i="13"/>
  <c r="C23" i="13" s="1"/>
  <c r="B22" i="13"/>
  <c r="C22" i="13" s="1"/>
  <c r="B21" i="13"/>
  <c r="C21" i="13" s="1"/>
  <c r="B20" i="13"/>
  <c r="C20" i="13" s="1"/>
  <c r="B19" i="13"/>
  <c r="C19" i="13" s="1"/>
  <c r="B18" i="13"/>
  <c r="C18" i="13" s="1"/>
  <c r="B17" i="13"/>
  <c r="C17" i="13" s="1"/>
  <c r="B16" i="13"/>
  <c r="C16" i="13" s="1"/>
  <c r="B15" i="13"/>
  <c r="C15" i="13" s="1"/>
  <c r="B14" i="13"/>
  <c r="C14" i="13" s="1"/>
  <c r="B13" i="13"/>
  <c r="C13" i="13" s="1"/>
  <c r="D13" i="13" s="1"/>
  <c r="F13" i="13" s="1"/>
  <c r="B14" i="12"/>
  <c r="C14" i="12" s="1"/>
  <c r="B15" i="12"/>
  <c r="C15" i="12" s="1"/>
  <c r="B16" i="12"/>
  <c r="C16" i="12" s="1"/>
  <c r="B17" i="12"/>
  <c r="C17" i="12" s="1"/>
  <c r="B18" i="12"/>
  <c r="C18" i="12" s="1"/>
  <c r="B19" i="12"/>
  <c r="C19" i="12" s="1"/>
  <c r="B20" i="12"/>
  <c r="C20" i="12" s="1"/>
  <c r="B21" i="12"/>
  <c r="C21" i="12" s="1"/>
  <c r="B22" i="12"/>
  <c r="C22" i="12" s="1"/>
  <c r="B23" i="12"/>
  <c r="C23" i="12" s="1"/>
  <c r="B24" i="12"/>
  <c r="C24" i="12" s="1"/>
  <c r="B25" i="12"/>
  <c r="C25" i="12" s="1"/>
  <c r="B26" i="12"/>
  <c r="C26" i="12" s="1"/>
  <c r="B27" i="12"/>
  <c r="C27" i="12" s="1"/>
  <c r="B28" i="12"/>
  <c r="C28" i="12" s="1"/>
  <c r="B29" i="12"/>
  <c r="C29" i="12" s="1"/>
  <c r="B30" i="12"/>
  <c r="C30" i="12" s="1"/>
  <c r="B31" i="12"/>
  <c r="C31" i="12" s="1"/>
  <c r="B32" i="12"/>
  <c r="C32" i="12" s="1"/>
  <c r="B33" i="12"/>
  <c r="C33" i="12" s="1"/>
  <c r="B34" i="12"/>
  <c r="C34" i="12" s="1"/>
  <c r="B35" i="12"/>
  <c r="C35" i="12" s="1"/>
  <c r="B36" i="12"/>
  <c r="C36" i="12" s="1"/>
  <c r="B37" i="12"/>
  <c r="C37" i="12" s="1"/>
  <c r="B38" i="12"/>
  <c r="C38" i="12" s="1"/>
  <c r="B39" i="12"/>
  <c r="C39" i="12" s="1"/>
  <c r="B40" i="12"/>
  <c r="C40" i="12" s="1"/>
  <c r="B41" i="12"/>
  <c r="C41" i="12" s="1"/>
  <c r="B42" i="12"/>
  <c r="C42" i="12" s="1"/>
  <c r="B43" i="12"/>
  <c r="C43" i="12" s="1"/>
  <c r="B44" i="12"/>
  <c r="C44" i="12" s="1"/>
  <c r="B45" i="12"/>
  <c r="C45" i="12" s="1"/>
  <c r="B46" i="12"/>
  <c r="C46" i="12" s="1"/>
  <c r="B47" i="12"/>
  <c r="C47" i="12" s="1"/>
  <c r="B48" i="12"/>
  <c r="C48" i="12" s="1"/>
  <c r="B49" i="12"/>
  <c r="C49" i="12" s="1"/>
  <c r="B50" i="12"/>
  <c r="C50" i="12" s="1"/>
  <c r="B51" i="12"/>
  <c r="C51" i="12" s="1"/>
  <c r="B52" i="12"/>
  <c r="C52" i="12" s="1"/>
  <c r="B53" i="12"/>
  <c r="C53" i="12" s="1"/>
  <c r="B54" i="12"/>
  <c r="C54" i="12" s="1"/>
  <c r="B55" i="12"/>
  <c r="C55" i="12" s="1"/>
  <c r="B56" i="12"/>
  <c r="C56" i="12" s="1"/>
  <c r="B57" i="12"/>
  <c r="C57" i="12" s="1"/>
  <c r="B58" i="12"/>
  <c r="C58" i="12" s="1"/>
  <c r="B59" i="12"/>
  <c r="C59" i="12" s="1"/>
  <c r="B60" i="12"/>
  <c r="C60" i="12" s="1"/>
  <c r="B61" i="12"/>
  <c r="C61" i="12" s="1"/>
  <c r="B62" i="12"/>
  <c r="C62" i="12" s="1"/>
  <c r="B63" i="12"/>
  <c r="C63" i="12" s="1"/>
  <c r="B64" i="12"/>
  <c r="C64" i="12" s="1"/>
  <c r="B65" i="12"/>
  <c r="C65" i="12" s="1"/>
  <c r="B66" i="12"/>
  <c r="C66" i="12" s="1"/>
  <c r="B67" i="12"/>
  <c r="C67" i="12" s="1"/>
  <c r="B68" i="12"/>
  <c r="C68" i="12" s="1"/>
  <c r="B69" i="12"/>
  <c r="C69" i="12" s="1"/>
  <c r="B70" i="12"/>
  <c r="C70" i="12" s="1"/>
  <c r="B71" i="12"/>
  <c r="C71" i="12" s="1"/>
  <c r="B72" i="12"/>
  <c r="C72" i="12" s="1"/>
  <c r="B73" i="12"/>
  <c r="C73" i="12" s="1"/>
  <c r="B74" i="12"/>
  <c r="C74" i="12" s="1"/>
  <c r="B75" i="12"/>
  <c r="C75" i="12" s="1"/>
  <c r="B76" i="12"/>
  <c r="C76" i="12" s="1"/>
  <c r="B77" i="12"/>
  <c r="C77" i="12" s="1"/>
  <c r="B78" i="12"/>
  <c r="C78" i="12" s="1"/>
  <c r="B79" i="12"/>
  <c r="C79" i="12" s="1"/>
  <c r="B80" i="12"/>
  <c r="C80" i="12" s="1"/>
  <c r="B81" i="12"/>
  <c r="C81" i="12" s="1"/>
  <c r="B82" i="12"/>
  <c r="C82" i="12" s="1"/>
  <c r="B83" i="12"/>
  <c r="C83" i="12" s="1"/>
  <c r="B84" i="12"/>
  <c r="C84" i="12" s="1"/>
  <c r="B85" i="12"/>
  <c r="C85" i="12" s="1"/>
  <c r="B86" i="12"/>
  <c r="C86" i="12" s="1"/>
  <c r="B87" i="12"/>
  <c r="C87" i="12" s="1"/>
  <c r="B88" i="12"/>
  <c r="C88" i="12" s="1"/>
  <c r="B89" i="12"/>
  <c r="C89" i="12" s="1"/>
  <c r="B90" i="12"/>
  <c r="C90" i="12" s="1"/>
  <c r="B91" i="12"/>
  <c r="C91" i="12" s="1"/>
  <c r="B92" i="12"/>
  <c r="C92" i="12" s="1"/>
  <c r="B93" i="12"/>
  <c r="C93" i="12" s="1"/>
  <c r="B94" i="12"/>
  <c r="C94" i="12" s="1"/>
  <c r="B95" i="12"/>
  <c r="C95" i="12" s="1"/>
  <c r="B96" i="12"/>
  <c r="C96" i="12" s="1"/>
  <c r="B97" i="12"/>
  <c r="C97" i="12" s="1"/>
  <c r="B98" i="12"/>
  <c r="C98" i="12" s="1"/>
  <c r="B99" i="12"/>
  <c r="C99" i="12" s="1"/>
  <c r="B100" i="12"/>
  <c r="C100" i="12" s="1"/>
  <c r="B101" i="12"/>
  <c r="C101" i="12" s="1"/>
  <c r="B102" i="12"/>
  <c r="C102" i="12" s="1"/>
  <c r="B103" i="12"/>
  <c r="C103" i="12" s="1"/>
  <c r="B104" i="12"/>
  <c r="C104" i="12" s="1"/>
  <c r="B105" i="12"/>
  <c r="C105" i="12" s="1"/>
  <c r="B106" i="12"/>
  <c r="C106" i="12" s="1"/>
  <c r="B107" i="12"/>
  <c r="C107" i="12" s="1"/>
  <c r="B108" i="12"/>
  <c r="C108" i="12" s="1"/>
  <c r="B109" i="12"/>
  <c r="C109" i="12" s="1"/>
  <c r="B110" i="12"/>
  <c r="C110" i="12" s="1"/>
  <c r="B111" i="12"/>
  <c r="C111" i="12" s="1"/>
  <c r="B112" i="12"/>
  <c r="C112" i="12" s="1"/>
  <c r="B13" i="12"/>
  <c r="C13" i="12" s="1"/>
  <c r="D14" i="13" l="1"/>
  <c r="D13" i="12"/>
  <c r="D14" i="12" s="1"/>
  <c r="E12" i="12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E105" i="12" s="1"/>
  <c r="E106" i="12" s="1"/>
  <c r="E107" i="12" s="1"/>
  <c r="E108" i="12" s="1"/>
  <c r="E109" i="12" s="1"/>
  <c r="E110" i="12" s="1"/>
  <c r="E111" i="12" s="1"/>
  <c r="E112" i="12" s="1"/>
  <c r="D15" i="13" l="1"/>
  <c r="F14" i="13"/>
  <c r="F13" i="12"/>
  <c r="F12" i="12"/>
  <c r="D15" i="12"/>
  <c r="F14" i="12"/>
  <c r="D16" i="13" l="1"/>
  <c r="F15" i="13"/>
  <c r="D16" i="12"/>
  <c r="F15" i="12"/>
  <c r="D17" i="13" l="1"/>
  <c r="F16" i="13"/>
  <c r="D17" i="12"/>
  <c r="F16" i="12"/>
  <c r="D18" i="13" l="1"/>
  <c r="F17" i="13"/>
  <c r="D18" i="12"/>
  <c r="F17" i="12"/>
  <c r="D19" i="13" l="1"/>
  <c r="F18" i="13"/>
  <c r="D19" i="12"/>
  <c r="F18" i="12"/>
  <c r="D20" i="13" l="1"/>
  <c r="F19" i="13"/>
  <c r="D20" i="12"/>
  <c r="F19" i="12"/>
  <c r="D21" i="13" l="1"/>
  <c r="F20" i="13"/>
  <c r="D21" i="12"/>
  <c r="F20" i="12"/>
  <c r="D22" i="13" l="1"/>
  <c r="F21" i="13"/>
  <c r="D22" i="12"/>
  <c r="F21" i="12"/>
  <c r="D23" i="13" l="1"/>
  <c r="F22" i="13"/>
  <c r="D23" i="12"/>
  <c r="F22" i="12"/>
  <c r="D24" i="13" l="1"/>
  <c r="F23" i="13"/>
  <c r="D24" i="12"/>
  <c r="F23" i="12"/>
  <c r="D25" i="13" l="1"/>
  <c r="F24" i="13"/>
  <c r="D25" i="12"/>
  <c r="F24" i="12"/>
  <c r="D26" i="13" l="1"/>
  <c r="F25" i="13"/>
  <c r="D26" i="12"/>
  <c r="F25" i="12"/>
  <c r="D27" i="13" l="1"/>
  <c r="F26" i="13"/>
  <c r="D27" i="12"/>
  <c r="F26" i="12"/>
  <c r="D28" i="13" l="1"/>
  <c r="F27" i="13"/>
  <c r="D28" i="12"/>
  <c r="F27" i="12"/>
  <c r="D29" i="13" l="1"/>
  <c r="F28" i="13"/>
  <c r="D29" i="12"/>
  <c r="F28" i="12"/>
  <c r="D30" i="13" l="1"/>
  <c r="F29" i="13"/>
  <c r="D30" i="12"/>
  <c r="F29" i="12"/>
  <c r="D31" i="13" l="1"/>
  <c r="F30" i="13"/>
  <c r="D31" i="12"/>
  <c r="F30" i="12"/>
  <c r="D32" i="13" l="1"/>
  <c r="F31" i="13"/>
  <c r="D32" i="12"/>
  <c r="F31" i="12"/>
  <c r="D33" i="13" l="1"/>
  <c r="F32" i="13"/>
  <c r="D33" i="12"/>
  <c r="F32" i="12"/>
  <c r="D34" i="13" l="1"/>
  <c r="F33" i="13"/>
  <c r="D34" i="12"/>
  <c r="F33" i="12"/>
  <c r="D35" i="13" l="1"/>
  <c r="F34" i="13"/>
  <c r="D35" i="12"/>
  <c r="F34" i="12"/>
  <c r="D36" i="13" l="1"/>
  <c r="F35" i="13"/>
  <c r="D36" i="12"/>
  <c r="F35" i="12"/>
  <c r="D37" i="13" l="1"/>
  <c r="F36" i="13"/>
  <c r="D37" i="12"/>
  <c r="F36" i="12"/>
  <c r="D38" i="13" l="1"/>
  <c r="F37" i="13"/>
  <c r="D38" i="12"/>
  <c r="F37" i="12"/>
  <c r="D39" i="13" l="1"/>
  <c r="F38" i="13"/>
  <c r="D39" i="12"/>
  <c r="F38" i="12"/>
  <c r="D40" i="13" l="1"/>
  <c r="F39" i="13"/>
  <c r="D40" i="12"/>
  <c r="F39" i="12"/>
  <c r="D41" i="13" l="1"/>
  <c r="F40" i="13"/>
  <c r="D41" i="12"/>
  <c r="F40" i="12"/>
  <c r="D42" i="13" l="1"/>
  <c r="F41" i="13"/>
  <c r="D42" i="12"/>
  <c r="F41" i="12"/>
  <c r="D43" i="13" l="1"/>
  <c r="F42" i="13"/>
  <c r="D43" i="12"/>
  <c r="F42" i="12"/>
  <c r="D44" i="13" l="1"/>
  <c r="F43" i="13"/>
  <c r="D44" i="12"/>
  <c r="F43" i="12"/>
  <c r="D45" i="13" l="1"/>
  <c r="F44" i="13"/>
  <c r="D45" i="12"/>
  <c r="F44" i="12"/>
  <c r="D46" i="13" l="1"/>
  <c r="F45" i="13"/>
  <c r="D46" i="12"/>
  <c r="F45" i="12"/>
  <c r="D47" i="13" l="1"/>
  <c r="F46" i="13"/>
  <c r="D47" i="12"/>
  <c r="F46" i="12"/>
  <c r="D48" i="13" l="1"/>
  <c r="F47" i="13"/>
  <c r="D48" i="12"/>
  <c r="F47" i="12"/>
  <c r="D49" i="13" l="1"/>
  <c r="F48" i="13"/>
  <c r="D49" i="12"/>
  <c r="F48" i="12"/>
  <c r="D50" i="13" l="1"/>
  <c r="F49" i="13"/>
  <c r="D50" i="12"/>
  <c r="F49" i="12"/>
  <c r="D51" i="13" l="1"/>
  <c r="F50" i="13"/>
  <c r="D51" i="12"/>
  <c r="F50" i="12"/>
  <c r="D52" i="13" l="1"/>
  <c r="F51" i="13"/>
  <c r="D52" i="12"/>
  <c r="F51" i="12"/>
  <c r="D53" i="13" l="1"/>
  <c r="F52" i="13"/>
  <c r="D53" i="12"/>
  <c r="F52" i="12"/>
  <c r="D54" i="13" l="1"/>
  <c r="F53" i="13"/>
  <c r="D54" i="12"/>
  <c r="F53" i="12"/>
  <c r="D55" i="13" l="1"/>
  <c r="F54" i="13"/>
  <c r="D55" i="12"/>
  <c r="F54" i="12"/>
  <c r="D56" i="13" l="1"/>
  <c r="F55" i="13"/>
  <c r="D56" i="12"/>
  <c r="F55" i="12"/>
  <c r="D57" i="13" l="1"/>
  <c r="F56" i="13"/>
  <c r="D57" i="12"/>
  <c r="F56" i="12"/>
  <c r="D58" i="13" l="1"/>
  <c r="F57" i="13"/>
  <c r="D58" i="12"/>
  <c r="F57" i="12"/>
  <c r="D59" i="13" l="1"/>
  <c r="F58" i="13"/>
  <c r="D59" i="12"/>
  <c r="F58" i="12"/>
  <c r="D60" i="13" l="1"/>
  <c r="F59" i="13"/>
  <c r="D60" i="12"/>
  <c r="F59" i="12"/>
  <c r="D61" i="13" l="1"/>
  <c r="F60" i="13"/>
  <c r="D61" i="12"/>
  <c r="F60" i="12"/>
  <c r="D62" i="13" l="1"/>
  <c r="F61" i="13"/>
  <c r="D62" i="12"/>
  <c r="F61" i="12"/>
  <c r="D63" i="13" l="1"/>
  <c r="F62" i="13"/>
  <c r="D63" i="12"/>
  <c r="F62" i="12"/>
  <c r="D64" i="13" l="1"/>
  <c r="F63" i="13"/>
  <c r="D64" i="12"/>
  <c r="F63" i="12"/>
  <c r="D65" i="13" l="1"/>
  <c r="F64" i="13"/>
  <c r="D65" i="12"/>
  <c r="F64" i="12"/>
  <c r="D66" i="13" l="1"/>
  <c r="F65" i="13"/>
  <c r="D66" i="12"/>
  <c r="F65" i="12"/>
  <c r="D67" i="13" l="1"/>
  <c r="F66" i="13"/>
  <c r="D67" i="12"/>
  <c r="F66" i="12"/>
  <c r="D68" i="13" l="1"/>
  <c r="F67" i="13"/>
  <c r="D68" i="12"/>
  <c r="F67" i="12"/>
  <c r="D69" i="13" l="1"/>
  <c r="F68" i="13"/>
  <c r="D69" i="12"/>
  <c r="F68" i="12"/>
  <c r="D70" i="13" l="1"/>
  <c r="F69" i="13"/>
  <c r="D70" i="12"/>
  <c r="F69" i="12"/>
  <c r="D71" i="13" l="1"/>
  <c r="F70" i="13"/>
  <c r="D71" i="12"/>
  <c r="F70" i="12"/>
  <c r="D72" i="13" l="1"/>
  <c r="F71" i="13"/>
  <c r="D72" i="12"/>
  <c r="F71" i="12"/>
  <c r="D73" i="13" l="1"/>
  <c r="F72" i="13"/>
  <c r="D73" i="12"/>
  <c r="F72" i="12"/>
  <c r="D74" i="13" l="1"/>
  <c r="F73" i="13"/>
  <c r="D74" i="12"/>
  <c r="F73" i="12"/>
  <c r="D75" i="13" l="1"/>
  <c r="F74" i="13"/>
  <c r="D75" i="12"/>
  <c r="F74" i="12"/>
  <c r="D76" i="13" l="1"/>
  <c r="F75" i="13"/>
  <c r="D76" i="12"/>
  <c r="F75" i="12"/>
  <c r="D77" i="13" l="1"/>
  <c r="F76" i="13"/>
  <c r="D77" i="12"/>
  <c r="F76" i="12"/>
  <c r="D78" i="13" l="1"/>
  <c r="F77" i="13"/>
  <c r="D78" i="12"/>
  <c r="F77" i="12"/>
  <c r="D79" i="13" l="1"/>
  <c r="F78" i="13"/>
  <c r="D79" i="12"/>
  <c r="F78" i="12"/>
  <c r="D80" i="13" l="1"/>
  <c r="F79" i="13"/>
  <c r="D80" i="12"/>
  <c r="F79" i="12"/>
  <c r="D81" i="13" l="1"/>
  <c r="F80" i="13"/>
  <c r="D81" i="12"/>
  <c r="F80" i="12"/>
  <c r="D82" i="13" l="1"/>
  <c r="F81" i="13"/>
  <c r="D82" i="12"/>
  <c r="F81" i="12"/>
  <c r="D83" i="13" l="1"/>
  <c r="F82" i="13"/>
  <c r="D83" i="12"/>
  <c r="F82" i="12"/>
  <c r="D84" i="13" l="1"/>
  <c r="F83" i="13"/>
  <c r="D84" i="12"/>
  <c r="F83" i="12"/>
  <c r="D85" i="13" l="1"/>
  <c r="F84" i="13"/>
  <c r="D85" i="12"/>
  <c r="F84" i="12"/>
  <c r="D86" i="13" l="1"/>
  <c r="F85" i="13"/>
  <c r="D86" i="12"/>
  <c r="F85" i="12"/>
  <c r="D87" i="13" l="1"/>
  <c r="F86" i="13"/>
  <c r="D87" i="12"/>
  <c r="F86" i="12"/>
  <c r="D88" i="13" l="1"/>
  <c r="F87" i="13"/>
  <c r="D88" i="12"/>
  <c r="F87" i="12"/>
  <c r="D89" i="13" l="1"/>
  <c r="F88" i="13"/>
  <c r="D89" i="12"/>
  <c r="F88" i="12"/>
  <c r="D90" i="13" l="1"/>
  <c r="F89" i="13"/>
  <c r="D90" i="12"/>
  <c r="F89" i="12"/>
  <c r="D91" i="13" l="1"/>
  <c r="F90" i="13"/>
  <c r="D91" i="12"/>
  <c r="F90" i="12"/>
  <c r="D92" i="13" l="1"/>
  <c r="F91" i="13"/>
  <c r="D92" i="12"/>
  <c r="F91" i="12"/>
  <c r="D93" i="13" l="1"/>
  <c r="F92" i="13"/>
  <c r="D93" i="12"/>
  <c r="F92" i="12"/>
  <c r="D94" i="13" l="1"/>
  <c r="F93" i="13"/>
  <c r="D94" i="12"/>
  <c r="F93" i="12"/>
  <c r="D95" i="13" l="1"/>
  <c r="F94" i="13"/>
  <c r="D95" i="12"/>
  <c r="F94" i="12"/>
  <c r="D96" i="13" l="1"/>
  <c r="F95" i="13"/>
  <c r="D96" i="12"/>
  <c r="F95" i="12"/>
  <c r="D97" i="13" l="1"/>
  <c r="F96" i="13"/>
  <c r="D97" i="12"/>
  <c r="F96" i="12"/>
  <c r="D98" i="13" l="1"/>
  <c r="F97" i="13"/>
  <c r="D98" i="12"/>
  <c r="F97" i="12"/>
  <c r="D99" i="13" l="1"/>
  <c r="F98" i="13"/>
  <c r="D99" i="12"/>
  <c r="F98" i="12"/>
  <c r="D100" i="13" l="1"/>
  <c r="F99" i="13"/>
  <c r="D100" i="12"/>
  <c r="F99" i="12"/>
  <c r="D101" i="13" l="1"/>
  <c r="F100" i="13"/>
  <c r="D101" i="12"/>
  <c r="F100" i="12"/>
  <c r="D102" i="13" l="1"/>
  <c r="F101" i="13"/>
  <c r="D102" i="12"/>
  <c r="F101" i="12"/>
  <c r="D103" i="13" l="1"/>
  <c r="F102" i="13"/>
  <c r="D103" i="12"/>
  <c r="F102" i="12"/>
  <c r="D104" i="13" l="1"/>
  <c r="F103" i="13"/>
  <c r="D104" i="12"/>
  <c r="F103" i="12"/>
  <c r="D105" i="13" l="1"/>
  <c r="F104" i="13"/>
  <c r="D105" i="12"/>
  <c r="F104" i="12"/>
  <c r="D106" i="13" l="1"/>
  <c r="F105" i="13"/>
  <c r="D106" i="12"/>
  <c r="F105" i="12"/>
  <c r="D107" i="13" l="1"/>
  <c r="F106" i="13"/>
  <c r="D107" i="12"/>
  <c r="F106" i="12"/>
  <c r="D108" i="13" l="1"/>
  <c r="F107" i="13"/>
  <c r="D108" i="12"/>
  <c r="F107" i="12"/>
  <c r="D109" i="13" l="1"/>
  <c r="F108" i="13"/>
  <c r="D109" i="12"/>
  <c r="F108" i="12"/>
  <c r="D110" i="13" l="1"/>
  <c r="F109" i="13"/>
  <c r="D110" i="12"/>
  <c r="F109" i="12"/>
  <c r="D111" i="13" l="1"/>
  <c r="F110" i="13"/>
  <c r="D111" i="12"/>
  <c r="F110" i="12"/>
  <c r="D112" i="13" l="1"/>
  <c r="F111" i="13"/>
  <c r="D112" i="12"/>
  <c r="F111" i="12"/>
  <c r="F112" i="13" l="1"/>
  <c r="F112" i="12"/>
  <c r="C19" i="11" l="1"/>
  <c r="C10" i="11"/>
  <c r="S6" i="3"/>
  <c r="S5" i="3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14" i="3"/>
  <c r="B10" i="3"/>
  <c r="B10" i="2"/>
  <c r="B8" i="2"/>
  <c r="B9" i="2" s="1"/>
  <c r="B8" i="3"/>
  <c r="B9" i="3" s="1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15" i="2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14" i="3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16" i="2"/>
  <c r="B7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15" i="2"/>
  <c r="B6" i="2"/>
  <c r="F263" i="3"/>
  <c r="B7" i="3"/>
  <c r="D22" i="3" s="1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14" i="3"/>
  <c r="B6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15" i="3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16" i="2"/>
  <c r="D99" i="3" l="1"/>
  <c r="D93" i="3"/>
  <c r="D92" i="3"/>
  <c r="D76" i="3"/>
  <c r="D75" i="3"/>
  <c r="D69" i="3"/>
  <c r="D260" i="3"/>
  <c r="D237" i="3"/>
  <c r="D219" i="3"/>
  <c r="D196" i="3"/>
  <c r="D173" i="3"/>
  <c r="D155" i="3"/>
  <c r="D132" i="3"/>
  <c r="D109" i="3"/>
  <c r="D91" i="3"/>
  <c r="D68" i="3"/>
  <c r="D45" i="3"/>
  <c r="D27" i="3"/>
  <c r="D259" i="3"/>
  <c r="D236" i="3"/>
  <c r="D213" i="3"/>
  <c r="D195" i="3"/>
  <c r="D172" i="3"/>
  <c r="D149" i="3"/>
  <c r="D131" i="3"/>
  <c r="D108" i="3"/>
  <c r="D85" i="3"/>
  <c r="D67" i="3"/>
  <c r="D44" i="3"/>
  <c r="D21" i="3"/>
  <c r="D245" i="3"/>
  <c r="D227" i="3"/>
  <c r="D204" i="3"/>
  <c r="D181" i="3"/>
  <c r="D163" i="3"/>
  <c r="D140" i="3"/>
  <c r="D117" i="3"/>
  <c r="D35" i="3"/>
  <c r="D244" i="3"/>
  <c r="D221" i="3"/>
  <c r="D203" i="3"/>
  <c r="D180" i="3"/>
  <c r="D157" i="3"/>
  <c r="D139" i="3"/>
  <c r="D116" i="3"/>
  <c r="D29" i="3"/>
  <c r="D261" i="3"/>
  <c r="D243" i="3"/>
  <c r="D220" i="3"/>
  <c r="D197" i="3"/>
  <c r="D179" i="3"/>
  <c r="D156" i="3"/>
  <c r="D133" i="3"/>
  <c r="D115" i="3"/>
  <c r="D28" i="3"/>
  <c r="D253" i="3"/>
  <c r="D235" i="3"/>
  <c r="D212" i="3"/>
  <c r="D189" i="3"/>
  <c r="D171" i="3"/>
  <c r="D148" i="3"/>
  <c r="D125" i="3"/>
  <c r="D107" i="3"/>
  <c r="D84" i="3"/>
  <c r="D61" i="3"/>
  <c r="D43" i="3"/>
  <c r="D20" i="3"/>
  <c r="D252" i="3"/>
  <c r="D229" i="3"/>
  <c r="D211" i="3"/>
  <c r="D188" i="3"/>
  <c r="D165" i="3"/>
  <c r="D147" i="3"/>
  <c r="D124" i="3"/>
  <c r="D101" i="3"/>
  <c r="D83" i="3"/>
  <c r="D60" i="3"/>
  <c r="D37" i="3"/>
  <c r="D19" i="3"/>
  <c r="D53" i="3"/>
  <c r="D52" i="3"/>
  <c r="D51" i="3"/>
  <c r="D251" i="3"/>
  <c r="D228" i="3"/>
  <c r="D205" i="3"/>
  <c r="D187" i="3"/>
  <c r="D164" i="3"/>
  <c r="D141" i="3"/>
  <c r="D123" i="3"/>
  <c r="D100" i="3"/>
  <c r="D77" i="3"/>
  <c r="D59" i="3"/>
  <c r="D36" i="3"/>
  <c r="D250" i="3"/>
  <c r="D242" i="3"/>
  <c r="D226" i="3"/>
  <c r="D210" i="3"/>
  <c r="D194" i="3"/>
  <c r="D170" i="3"/>
  <c r="D154" i="3"/>
  <c r="D138" i="3"/>
  <c r="D106" i="3"/>
  <c r="D26" i="3"/>
  <c r="D257" i="3"/>
  <c r="D249" i="3"/>
  <c r="D241" i="3"/>
  <c r="D233" i="3"/>
  <c r="D225" i="3"/>
  <c r="D217" i="3"/>
  <c r="D209" i="3"/>
  <c r="D201" i="3"/>
  <c r="D193" i="3"/>
  <c r="D185" i="3"/>
  <c r="D177" i="3"/>
  <c r="D169" i="3"/>
  <c r="D161" i="3"/>
  <c r="D153" i="3"/>
  <c r="D145" i="3"/>
  <c r="D137" i="3"/>
  <c r="D129" i="3"/>
  <c r="D121" i="3"/>
  <c r="D113" i="3"/>
  <c r="D105" i="3"/>
  <c r="D97" i="3"/>
  <c r="D89" i="3"/>
  <c r="D81" i="3"/>
  <c r="D73" i="3"/>
  <c r="D65" i="3"/>
  <c r="D57" i="3"/>
  <c r="D49" i="3"/>
  <c r="D41" i="3"/>
  <c r="D33" i="3"/>
  <c r="D25" i="3"/>
  <c r="D17" i="3"/>
  <c r="D258" i="3"/>
  <c r="D234" i="3"/>
  <c r="D218" i="3"/>
  <c r="D202" i="3"/>
  <c r="D186" i="3"/>
  <c r="D178" i="3"/>
  <c r="D162" i="3"/>
  <c r="D146" i="3"/>
  <c r="D130" i="3"/>
  <c r="D122" i="3"/>
  <c r="D114" i="3"/>
  <c r="D98" i="3"/>
  <c r="D90" i="3"/>
  <c r="D82" i="3"/>
  <c r="D74" i="3"/>
  <c r="D66" i="3"/>
  <c r="D58" i="3"/>
  <c r="D50" i="3"/>
  <c r="D42" i="3"/>
  <c r="D34" i="3"/>
  <c r="D18" i="3"/>
  <c r="D15" i="3"/>
  <c r="D256" i="3"/>
  <c r="D248" i="3"/>
  <c r="D240" i="3"/>
  <c r="D232" i="3"/>
  <c r="D224" i="3"/>
  <c r="D216" i="3"/>
  <c r="D208" i="3"/>
  <c r="D200" i="3"/>
  <c r="D192" i="3"/>
  <c r="D184" i="3"/>
  <c r="D176" i="3"/>
  <c r="D168" i="3"/>
  <c r="D160" i="3"/>
  <c r="D152" i="3"/>
  <c r="D144" i="3"/>
  <c r="D136" i="3"/>
  <c r="D128" i="3"/>
  <c r="D120" i="3"/>
  <c r="D112" i="3"/>
  <c r="D104" i="3"/>
  <c r="D96" i="3"/>
  <c r="D88" i="3"/>
  <c r="D80" i="3"/>
  <c r="D72" i="3"/>
  <c r="D64" i="3"/>
  <c r="D56" i="3"/>
  <c r="D48" i="3"/>
  <c r="D40" i="3"/>
  <c r="D32" i="3"/>
  <c r="D24" i="3"/>
  <c r="D16" i="3"/>
  <c r="D263" i="3"/>
  <c r="D255" i="3"/>
  <c r="D247" i="3"/>
  <c r="D239" i="3"/>
  <c r="D231" i="3"/>
  <c r="D223" i="3"/>
  <c r="D215" i="3"/>
  <c r="D207" i="3"/>
  <c r="D199" i="3"/>
  <c r="D191" i="3"/>
  <c r="D183" i="3"/>
  <c r="D175" i="3"/>
  <c r="D167" i="3"/>
  <c r="D159" i="3"/>
  <c r="D151" i="3"/>
  <c r="D143" i="3"/>
  <c r="D135" i="3"/>
  <c r="D127" i="3"/>
  <c r="D119" i="3"/>
  <c r="D111" i="3"/>
  <c r="D103" i="3"/>
  <c r="D95" i="3"/>
  <c r="D87" i="3"/>
  <c r="D79" i="3"/>
  <c r="D71" i="3"/>
  <c r="D63" i="3"/>
  <c r="D55" i="3"/>
  <c r="D47" i="3"/>
  <c r="D39" i="3"/>
  <c r="D31" i="3"/>
  <c r="D23" i="3"/>
  <c r="D262" i="3"/>
  <c r="D254" i="3"/>
  <c r="D246" i="3"/>
  <c r="D238" i="3"/>
  <c r="D230" i="3"/>
  <c r="D222" i="3"/>
  <c r="D214" i="3"/>
  <c r="D206" i="3"/>
  <c r="D198" i="3"/>
  <c r="D190" i="3"/>
  <c r="D182" i="3"/>
  <c r="D174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70" i="3"/>
  <c r="D62" i="3"/>
  <c r="D54" i="3"/>
  <c r="D46" i="3"/>
  <c r="D38" i="3"/>
  <c r="D30" i="3"/>
</calcChain>
</file>

<file path=xl/sharedStrings.xml><?xml version="1.0" encoding="utf-8"?>
<sst xmlns="http://schemas.openxmlformats.org/spreadsheetml/2006/main" count="285" uniqueCount="125">
  <si>
    <t xml:space="preserve">Number of Days of Data </t>
  </si>
  <si>
    <t xml:space="preserve">Number of HPRs (N) </t>
  </si>
  <si>
    <t xml:space="preserve">Mean Daily Return </t>
  </si>
  <si>
    <t xml:space="preserve">Daily Variance </t>
  </si>
  <si>
    <t xml:space="preserve">Daily S.D. </t>
  </si>
  <si>
    <t xml:space="preserve">Annualized Volatility </t>
  </si>
  <si>
    <t xml:space="preserve">Using Formula </t>
  </si>
  <si>
    <t xml:space="preserve">Using Functions </t>
  </si>
  <si>
    <t>Date</t>
  </si>
  <si>
    <t>Adj Close</t>
  </si>
  <si>
    <t>HPR</t>
  </si>
  <si>
    <t>Squared Deviations</t>
  </si>
  <si>
    <t>Day #</t>
  </si>
  <si>
    <t>HPR (Conditional)</t>
  </si>
  <si>
    <t xml:space="preserve">Squared Deviations (conditional) </t>
  </si>
  <si>
    <t>Results</t>
  </si>
  <si>
    <t xml:space="preserve">Results for 90 Days </t>
  </si>
  <si>
    <t>Number of HPRs (N)</t>
  </si>
  <si>
    <t>Using Formula</t>
  </si>
  <si>
    <t>Using Functions</t>
  </si>
  <si>
    <t xml:space="preserve">Results for 180 Days </t>
  </si>
  <si>
    <t xml:space="preserve">Results for 270 Days </t>
  </si>
  <si>
    <t xml:space="preserve">Company: Old Dominion Freight Line (ODFL) </t>
  </si>
  <si>
    <t xml:space="preserve">Company: Jack Henry &amp; Associates (JKHY) </t>
  </si>
  <si>
    <t>ODFL</t>
  </si>
  <si>
    <t>JKHY</t>
  </si>
  <si>
    <t>Open</t>
  </si>
  <si>
    <t>High</t>
  </si>
  <si>
    <t>Low</t>
  </si>
  <si>
    <t>Close </t>
  </si>
  <si>
    <t>Adj Close </t>
  </si>
  <si>
    <t>Volume</t>
  </si>
  <si>
    <t xml:space="preserve">Date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</si>
  <si>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</si>
  <si>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</si>
  <si>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</si>
  <si>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</si>
  <si>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</si>
  <si>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</si>
  <si>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</si>
  <si>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</si>
  <si>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</si>
  <si>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</si>
  <si>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</si>
  <si>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</si>
  <si>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</si>
  <si>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</si>
  <si>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 xml:space="preserve">Summary Stats for ODFL </t>
  </si>
  <si>
    <t>Summary Stats for JKHY</t>
  </si>
  <si>
    <t xml:space="preserve">Bins </t>
  </si>
  <si>
    <t>Bin</t>
  </si>
  <si>
    <t>More</t>
  </si>
  <si>
    <t>Frequency</t>
  </si>
  <si>
    <t xml:space="preserve">Bin Range </t>
  </si>
  <si>
    <t>VOO</t>
  </si>
  <si>
    <t xml:space="preserve">HPR 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</si>
  <si>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</si>
  <si>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</si>
  <si>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</si>
  <si>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</si>
  <si>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</si>
  <si>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</si>
  <si>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</si>
  <si>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</si>
  <si>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</si>
  <si>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</si>
  <si>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</si>
  <si>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</si>
  <si>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</si>
  <si>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</si>
  <si>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</si>
  <si>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</si>
  <si>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</si>
  <si>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</si>
  <si>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</si>
  <si>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</si>
  <si>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</si>
  <si>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</si>
  <si>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</si>
  <si>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</si>
  <si>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</si>
  <si>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-0.0105704157267162</t>
  </si>
  <si>
    <t>Residuals</t>
  </si>
  <si>
    <t xml:space="preserve">ODFL </t>
  </si>
  <si>
    <t xml:space="preserve">Predicted </t>
  </si>
  <si>
    <t xml:space="preserve">Daily Average Market Return </t>
  </si>
  <si>
    <t xml:space="preserve">Annualized Daily Market Return </t>
  </si>
  <si>
    <t xml:space="preserve">10-Year U.S. Treasury Yield (Risk-free rate) </t>
  </si>
  <si>
    <t xml:space="preserve">Beta </t>
  </si>
  <si>
    <t>CAPM</t>
  </si>
  <si>
    <t>ODFL Expected Return</t>
  </si>
  <si>
    <t>JKHY Expected Return</t>
  </si>
  <si>
    <t xml:space="preserve">Expected Returns </t>
  </si>
  <si>
    <t xml:space="preserve">Current Price Std. </t>
  </si>
  <si>
    <t>Time increment dt</t>
  </si>
  <si>
    <t>Expected return miu</t>
  </si>
  <si>
    <t xml:space="preserve">Annualized volatility sigma </t>
  </si>
  <si>
    <t>Day</t>
  </si>
  <si>
    <t xml:space="preserve">Random draw from a uniform distribution </t>
  </si>
  <si>
    <t xml:space="preserve">Random draw from Standard Distribution </t>
  </si>
  <si>
    <t xml:space="preserve">Simulated Price </t>
  </si>
  <si>
    <t xml:space="preserve">Certain Component </t>
  </si>
  <si>
    <t xml:space="preserve">Uncertain Component </t>
  </si>
  <si>
    <t>k</t>
  </si>
  <si>
    <t>Market Return</t>
  </si>
  <si>
    <t>Risk-free rate</t>
  </si>
  <si>
    <t>Beta</t>
  </si>
  <si>
    <t xml:space="preserve">ODFL Price Sim </t>
  </si>
  <si>
    <t xml:space="preserve">JKHY Price Simulation </t>
  </si>
  <si>
    <t>ODFL HPRs</t>
  </si>
  <si>
    <t>JKHY HPRs</t>
  </si>
  <si>
    <t>Correlation</t>
  </si>
  <si>
    <t>Risk-Free Rate</t>
  </si>
  <si>
    <t>Expected Return</t>
  </si>
  <si>
    <t>Weights</t>
  </si>
  <si>
    <t xml:space="preserve">Sum of Weights </t>
  </si>
  <si>
    <t>Risky Portfolio Return (Rp)</t>
  </si>
  <si>
    <t>Risky Portfolio SD Sigma P</t>
  </si>
  <si>
    <t xml:space="preserve">Sharpe Ratio </t>
  </si>
  <si>
    <t xml:space="preserve">Weights for Risky Portfolio </t>
  </si>
  <si>
    <t>Target Portfolio Return</t>
  </si>
  <si>
    <t xml:space="preserve">Complete Portfolio Return </t>
  </si>
  <si>
    <t>Portfolio SD</t>
  </si>
  <si>
    <t>Portfolio Return</t>
  </si>
  <si>
    <t xml:space="preserve">Portfolio Setup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</si>
</sst>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Baskerville Old Face"/>
    </font>
    <font>
      <sz val="14"/>
      <color theme="1"/>
      <name val="Baskerville Old Face"/>
    </font>
    <font>
      <i/>
      <sz val="12"/>
      <color theme="1"/>
      <name val="Baskerville Old Face"/>
    </font>
    <font>
      <sz val="12"/>
      <color rgb="FF000000"/>
      <name val="Baskerville Old Face"/>
    </font>
    <font>
      <sz val="14"/>
      <color rgb="FF000000"/>
      <name val="Baskerville Old Face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7"/>
      <color rgb="FF1B1B1B"/>
      <name val="Helvetica Neue"/>
      <family val="2"/>
    </font>
    <font>
      <b/>
      <sz val="12"/>
      <color theme="1"/>
      <name val="Baskerville Old Face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5" fontId="1" fillId="0" borderId="0" xfId="0" applyNumberFormat="1" applyFont="1"/>
    <xf numFmtId="0" fontId="3" fillId="0" borderId="2" xfId="0" applyFont="1" applyBorder="1" applyAlignment="1">
      <alignment horizontal="centerContinuous"/>
    </xf>
    <xf numFmtId="0" fontId="1" fillId="0" borderId="1" xfId="0" applyFont="1" applyBorder="1"/>
    <xf numFmtId="0" fontId="3" fillId="0" borderId="2" xfId="0" applyFont="1" applyBorder="1" applyAlignment="1">
      <alignment horizontal="center"/>
    </xf>
    <xf numFmtId="0" fontId="4" fillId="0" borderId="0" xfId="0" applyFont="1"/>
    <xf numFmtId="15" fontId="5" fillId="0" borderId="0" xfId="0" applyNumberFormat="1" applyFont="1"/>
    <xf numFmtId="0" fontId="5" fillId="0" borderId="0" xfId="0" applyFont="1"/>
    <xf numFmtId="0" fontId="0" fillId="0" borderId="1" xfId="0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Continuous"/>
    </xf>
    <xf numFmtId="0" fontId="8" fillId="0" borderId="0" xfId="0" applyFont="1"/>
    <xf numFmtId="0" fontId="9" fillId="0" borderId="0" xfId="0" applyFont="1"/>
    <xf numFmtId="0" fontId="1" fillId="2" borderId="0" xfId="0" applyFont="1" applyFill="1"/>
    <xf numFmtId="0" fontId="1" fillId="0" borderId="0" xfId="0" applyFont="1" applyAlignment="1">
      <alignment wrapText="1"/>
    </xf>
    <xf numFmtId="164" fontId="1" fillId="0" borderId="0" xfId="2" applyNumberFormat="1" applyFont="1"/>
    <xf numFmtId="10" fontId="1" fillId="0" borderId="0" xfId="2" applyNumberFormat="1" applyFont="1"/>
    <xf numFmtId="0" fontId="9" fillId="0" borderId="3" xfId="0" applyFont="1" applyBorder="1"/>
    <xf numFmtId="0" fontId="1" fillId="0" borderId="4" xfId="0" applyFont="1" applyBorder="1"/>
    <xf numFmtId="10" fontId="1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43" fontId="1" fillId="0" borderId="0" xfId="1" applyFont="1"/>
    <xf numFmtId="0" fontId="1" fillId="3" borderId="0" xfId="0" applyFont="1" applyFill="1"/>
    <xf numFmtId="9" fontId="1" fillId="3" borderId="0" xfId="0" applyNumberFormat="1" applyFont="1" applyFill="1"/>
    <xf numFmtId="0" fontId="1" fillId="0" borderId="0" xfId="0" applyFont="1" applyAlignment="1">
      <alignment horizontal="center"/>
    </xf>
    <xf numFmtId="9" fontId="1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ODFL HPRs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ODFL HPRs</a:t>
          </a:r>
        </a:p>
      </cx:txPr>
    </cx:title>
    <cx:plotArea>
      <cx:plotAreaRegion>
        <cx:series layoutId="clusteredColumn" uniqueId="{67037C7C-48E0-4241-8C7B-7E7DF69EAFDB}" formatIdx="0">
          <cx:tx>
            <cx:txData>
              <cx:f>_xlchart.v1.0</cx:f>
              <cx:v>Bin</cx:v>
            </cx:txData>
          </cx:tx>
          <cx:dataId val="0"/>
          <cx:layoutPr>
            <cx:binning intervalClosed="r"/>
          </cx:layoutPr>
        </cx:series>
        <cx:series layoutId="clusteredColumn" hidden="1" uniqueId="{0DBD2974-94B0-AD4F-B59B-A209094DDBA6}" formatIdx="1">
          <cx:tx>
            <cx:txData>
              <cx:f>_xlchart.v1.2</cx:f>
              <cx:v>Frequency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HPR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HPR Range</a:t>
              </a:r>
            </a:p>
          </cx:txPr>
        </cx:title>
        <cx:tickLabels/>
      </cx:axis>
      <cx:axis id="1">
        <cx:valScaling/>
        <cx:title>
          <cx:tx>
            <cx:txData>
              <cx:v>Number in the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in the Bins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JKHY HPRs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JKHY HPRs</a:t>
          </a:r>
        </a:p>
      </cx:txPr>
    </cx:title>
    <cx:plotArea>
      <cx:plotAreaRegion>
        <cx:series layoutId="clusteredColumn" uniqueId="{B44B3E96-7058-5D49-8F80-E92A5637FD28}" formatIdx="0">
          <cx:tx>
            <cx:txData>
              <cx:f>_xlchart.v1.4</cx:f>
              <cx:v>Bin</cx:v>
            </cx:txData>
          </cx:tx>
          <cx:dataId val="0"/>
          <cx:layoutPr>
            <cx:binning intervalClosed="r"/>
          </cx:layoutPr>
        </cx:series>
        <cx:series layoutId="clusteredColumn" hidden="1" uniqueId="{946AB803-5E9E-CA4C-ADD7-F4A4F4D9FB0F}" formatIdx="1">
          <cx:tx>
            <cx:txData>
              <cx:f>_xlchart.v1.6</cx:f>
              <cx:v>Frequency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Bin Ranges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Bin Ranges</a:t>
              </a:r>
            </a:p>
          </cx:txPr>
        </cx:title>
        <cx:tickLabels/>
      </cx:axis>
      <cx:axis id="1">
        <cx:valScaling/>
        <cx:title>
          <cx:tx>
            <cx:txData>
              <cx:v>Number in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in Bins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717550</xdr:colOff>
      <xdr:row>2</xdr:row>
      <xdr:rowOff>101600</xdr:rowOff>
    </xdr:from>
    <xdr:to>
      <xdr:col>9</xdr:col>
      <xdr:colOff>336550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FB8ACF9-68C0-2D61-1815-BA9FA7113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4050" y="50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787400</xdr:colOff>
      <xdr:row>4</xdr:row>
      <xdr:rowOff>114300</xdr:rowOff>
    </xdr:from>
    <xdr:to>
      <xdr:col>9</xdr:col>
      <xdr:colOff>406400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C3BB00-D562-33AA-D91C-10A02BB2FE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3900" y="927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36D2-9B82-7843-BABB-4C542A9672D5}">
  <dimension ref="B4:H256"/>
  <sheetViews>
    <sheetView workbookViewId="0">
      <selection activeCell="O26" sqref="O26"/>
    </sheetView>
  </sheetViews>
  <sheetFormatPr baseColWidth="10" defaultRowHeight="16" x14ac:dyDescent="0.2"/>
  <cols>
    <col min="1" max="1" width="10.83203125" style="1"/>
    <col min="2" max="2" width="12.6640625" style="1" bestFit="1" customWidth="1"/>
    <col min="3" max="7" width="11" style="1" bestFit="1" customWidth="1"/>
    <col min="8" max="8" width="11.83203125" style="1" bestFit="1" customWidth="1"/>
    <col min="9" max="16384" width="10.83203125" style="1"/>
  </cols>
  <sheetData>
    <row r="4" spans="2:8" x14ac:dyDescent="0.2">
      <c r="B4" s="1" t="s">
        <v>24</v>
      </c>
    </row>
    <row r="6" spans="2:8" x14ac:dyDescent="0.2">
      <c r="B6" s="1" t="s">
        <v>8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</row>
    <row r="7" spans="2:8" ht="19" x14ac:dyDescent="0.25">
      <c r="B7" s="2">
        <v>45996</v>
      </c>
      <c r="C7" s="3">
        <v>153.03</v>
      </c>
      <c r="D7" s="3">
        <v>156.72999999999999</v>
      </c>
      <c r="E7" s="3">
        <v>153.03</v>
      </c>
      <c r="F7" s="3">
        <v>155.15</v>
      </c>
      <c r="G7" s="3">
        <v>155.15</v>
      </c>
      <c r="H7" s="4">
        <v>2833500</v>
      </c>
    </row>
    <row r="8" spans="2:8" ht="19" x14ac:dyDescent="0.25">
      <c r="B8" s="2">
        <v>45995</v>
      </c>
      <c r="C8" s="3">
        <v>151.69</v>
      </c>
      <c r="D8" s="3">
        <v>154.03</v>
      </c>
      <c r="E8" s="3">
        <v>150.9</v>
      </c>
      <c r="F8" s="3">
        <v>153.51</v>
      </c>
      <c r="G8" s="3">
        <v>153.51</v>
      </c>
      <c r="H8" s="4">
        <v>4582700</v>
      </c>
    </row>
    <row r="9" spans="2:8" ht="19" x14ac:dyDescent="0.25">
      <c r="B9" s="2">
        <v>45994</v>
      </c>
      <c r="C9" s="3">
        <v>142.30000000000001</v>
      </c>
      <c r="D9" s="3">
        <v>151.05000000000001</v>
      </c>
      <c r="E9" s="3">
        <v>141.5</v>
      </c>
      <c r="F9" s="3">
        <v>150.94999999999999</v>
      </c>
      <c r="G9" s="3">
        <v>150.94999999999999</v>
      </c>
      <c r="H9" s="4">
        <v>4491200</v>
      </c>
    </row>
    <row r="10" spans="2:8" ht="19" x14ac:dyDescent="0.25">
      <c r="B10" s="2">
        <v>45993</v>
      </c>
      <c r="C10" s="3">
        <v>139.5</v>
      </c>
      <c r="D10" s="3">
        <v>142.44999999999999</v>
      </c>
      <c r="E10" s="3">
        <v>137.96</v>
      </c>
      <c r="F10" s="3">
        <v>141.46</v>
      </c>
      <c r="G10" s="3">
        <v>141.18</v>
      </c>
      <c r="H10" s="4">
        <v>2293900</v>
      </c>
    </row>
    <row r="11" spans="2:8" ht="19" x14ac:dyDescent="0.25">
      <c r="B11" s="2">
        <v>45992</v>
      </c>
      <c r="C11" s="3">
        <v>136.38999999999999</v>
      </c>
      <c r="D11" s="3">
        <v>143.27000000000001</v>
      </c>
      <c r="E11" s="3">
        <v>136</v>
      </c>
      <c r="F11" s="3">
        <v>139.66999999999999</v>
      </c>
      <c r="G11" s="3">
        <v>139.38999999999999</v>
      </c>
      <c r="H11" s="4">
        <v>2628400</v>
      </c>
    </row>
    <row r="12" spans="2:8" ht="19" x14ac:dyDescent="0.25">
      <c r="B12" s="2">
        <v>45989</v>
      </c>
      <c r="C12" s="3">
        <v>135.75</v>
      </c>
      <c r="D12" s="3">
        <v>136.38</v>
      </c>
      <c r="E12" s="3">
        <v>134.4</v>
      </c>
      <c r="F12" s="3">
        <v>135.29</v>
      </c>
      <c r="G12" s="3">
        <v>135.02000000000001</v>
      </c>
      <c r="H12" s="4">
        <v>587600</v>
      </c>
    </row>
    <row r="13" spans="2:8" ht="19" x14ac:dyDescent="0.25">
      <c r="B13" s="2">
        <v>45987</v>
      </c>
      <c r="C13" s="3">
        <v>133.44999999999999</v>
      </c>
      <c r="D13" s="3">
        <v>136.13999999999999</v>
      </c>
      <c r="E13" s="3">
        <v>133.44</v>
      </c>
      <c r="F13" s="3">
        <v>134.91</v>
      </c>
      <c r="G13" s="3">
        <v>134.63999999999999</v>
      </c>
      <c r="H13" s="4">
        <v>1460200</v>
      </c>
    </row>
    <row r="14" spans="2:8" ht="19" x14ac:dyDescent="0.25">
      <c r="B14" s="2">
        <v>45986</v>
      </c>
      <c r="C14" s="3">
        <v>132.33000000000001</v>
      </c>
      <c r="D14" s="3">
        <v>135.08000000000001</v>
      </c>
      <c r="E14" s="3">
        <v>132.32</v>
      </c>
      <c r="F14" s="3">
        <v>134.33000000000001</v>
      </c>
      <c r="G14" s="3">
        <v>134.06</v>
      </c>
      <c r="H14" s="4">
        <v>2066300</v>
      </c>
    </row>
    <row r="15" spans="2:8" ht="19" x14ac:dyDescent="0.25">
      <c r="B15" s="2">
        <v>45985</v>
      </c>
      <c r="C15" s="3">
        <v>133.94999999999999</v>
      </c>
      <c r="D15" s="3">
        <v>134.05000000000001</v>
      </c>
      <c r="E15" s="3">
        <v>131.75</v>
      </c>
      <c r="F15" s="3">
        <v>132.33000000000001</v>
      </c>
      <c r="G15" s="3">
        <v>132.07</v>
      </c>
      <c r="H15" s="4">
        <v>2663200</v>
      </c>
    </row>
    <row r="16" spans="2:8" ht="19" x14ac:dyDescent="0.25">
      <c r="B16" s="2">
        <v>45982</v>
      </c>
      <c r="C16" s="3">
        <v>127.33</v>
      </c>
      <c r="D16" s="3">
        <v>136.66</v>
      </c>
      <c r="E16" s="3">
        <v>126.84</v>
      </c>
      <c r="F16" s="3">
        <v>134.28</v>
      </c>
      <c r="G16" s="3">
        <v>134.01</v>
      </c>
      <c r="H16" s="4">
        <v>3335800</v>
      </c>
    </row>
    <row r="17" spans="2:8" ht="19" x14ac:dyDescent="0.25">
      <c r="B17" s="2">
        <v>45981</v>
      </c>
      <c r="C17" s="3">
        <v>128.24</v>
      </c>
      <c r="D17" s="3">
        <v>130.52000000000001</v>
      </c>
      <c r="E17" s="3">
        <v>126.01</v>
      </c>
      <c r="F17" s="3">
        <v>126.29</v>
      </c>
      <c r="G17" s="3">
        <v>126.04</v>
      </c>
      <c r="H17" s="4">
        <v>2257500</v>
      </c>
    </row>
    <row r="18" spans="2:8" ht="19" x14ac:dyDescent="0.25">
      <c r="B18" s="2">
        <v>45980</v>
      </c>
      <c r="C18" s="3">
        <v>130.80000000000001</v>
      </c>
      <c r="D18" s="3">
        <v>130.94999999999999</v>
      </c>
      <c r="E18" s="3">
        <v>126.57</v>
      </c>
      <c r="F18" s="3">
        <v>127.51</v>
      </c>
      <c r="G18" s="3">
        <v>127.26</v>
      </c>
      <c r="H18" s="4">
        <v>1963600</v>
      </c>
    </row>
    <row r="19" spans="2:8" ht="19" x14ac:dyDescent="0.25">
      <c r="B19" s="2">
        <v>45979</v>
      </c>
      <c r="C19" s="3">
        <v>129.19999999999999</v>
      </c>
      <c r="D19" s="3">
        <v>132.49</v>
      </c>
      <c r="E19" s="3">
        <v>128.51</v>
      </c>
      <c r="F19" s="3">
        <v>130.66</v>
      </c>
      <c r="G19" s="3">
        <v>130.4</v>
      </c>
      <c r="H19" s="4">
        <v>2030700</v>
      </c>
    </row>
    <row r="20" spans="2:8" ht="19" x14ac:dyDescent="0.25">
      <c r="B20" s="2">
        <v>45978</v>
      </c>
      <c r="C20" s="3">
        <v>132.15</v>
      </c>
      <c r="D20" s="3">
        <v>132.77000000000001</v>
      </c>
      <c r="E20" s="3">
        <v>129.37</v>
      </c>
      <c r="F20" s="3">
        <v>129.88999999999999</v>
      </c>
      <c r="G20" s="3">
        <v>129.63</v>
      </c>
      <c r="H20" s="4">
        <v>1991000</v>
      </c>
    </row>
    <row r="21" spans="2:8" ht="19" x14ac:dyDescent="0.25">
      <c r="B21" s="2">
        <v>45975</v>
      </c>
      <c r="C21" s="3">
        <v>135.32</v>
      </c>
      <c r="D21" s="3">
        <v>135.68</v>
      </c>
      <c r="E21" s="3">
        <v>131.46</v>
      </c>
      <c r="F21" s="3">
        <v>132.29</v>
      </c>
      <c r="G21" s="3">
        <v>132.03</v>
      </c>
      <c r="H21" s="4">
        <v>1936200</v>
      </c>
    </row>
    <row r="22" spans="2:8" ht="19" x14ac:dyDescent="0.25">
      <c r="B22" s="2">
        <v>45974</v>
      </c>
      <c r="C22" s="3">
        <v>138.01</v>
      </c>
      <c r="D22" s="3">
        <v>139.63</v>
      </c>
      <c r="E22" s="3">
        <v>134.66999999999999</v>
      </c>
      <c r="F22" s="3">
        <v>135.44999999999999</v>
      </c>
      <c r="G22" s="3">
        <v>135.18</v>
      </c>
      <c r="H22" s="4">
        <v>1870000</v>
      </c>
    </row>
    <row r="23" spans="2:8" ht="19" x14ac:dyDescent="0.25">
      <c r="B23" s="2">
        <v>45973</v>
      </c>
      <c r="C23" s="3">
        <v>139.44</v>
      </c>
      <c r="D23" s="3">
        <v>141.52000000000001</v>
      </c>
      <c r="E23" s="3">
        <v>138.69</v>
      </c>
      <c r="F23" s="3">
        <v>138.85</v>
      </c>
      <c r="G23" s="3">
        <v>138.58000000000001</v>
      </c>
      <c r="H23" s="4">
        <v>1487800</v>
      </c>
    </row>
    <row r="24" spans="2:8" ht="19" x14ac:dyDescent="0.25">
      <c r="B24" s="2">
        <v>45972</v>
      </c>
      <c r="C24" s="3">
        <v>137.86000000000001</v>
      </c>
      <c r="D24" s="3">
        <v>140.01</v>
      </c>
      <c r="E24" s="3">
        <v>136.26</v>
      </c>
      <c r="F24" s="3">
        <v>139.51</v>
      </c>
      <c r="G24" s="3">
        <v>139.22999999999999</v>
      </c>
      <c r="H24" s="4">
        <v>1560300</v>
      </c>
    </row>
    <row r="25" spans="2:8" ht="19" x14ac:dyDescent="0.25">
      <c r="B25" s="2">
        <v>45971</v>
      </c>
      <c r="C25" s="3">
        <v>139.91</v>
      </c>
      <c r="D25" s="3">
        <v>140.25</v>
      </c>
      <c r="E25" s="3">
        <v>135.59</v>
      </c>
      <c r="F25" s="3">
        <v>137.76</v>
      </c>
      <c r="G25" s="3">
        <v>137.49</v>
      </c>
      <c r="H25" s="4">
        <v>1639400</v>
      </c>
    </row>
    <row r="26" spans="2:8" ht="19" x14ac:dyDescent="0.25">
      <c r="B26" s="2">
        <v>45968</v>
      </c>
      <c r="C26" s="3">
        <v>137.19</v>
      </c>
      <c r="D26" s="3">
        <v>140.19</v>
      </c>
      <c r="E26" s="3">
        <v>135.91</v>
      </c>
      <c r="F26" s="3">
        <v>139.9</v>
      </c>
      <c r="G26" s="3">
        <v>139.62</v>
      </c>
      <c r="H26" s="4">
        <v>2065600</v>
      </c>
    </row>
    <row r="27" spans="2:8" ht="19" x14ac:dyDescent="0.25">
      <c r="B27" s="2">
        <v>45967</v>
      </c>
      <c r="C27" s="3">
        <v>139.88999999999999</v>
      </c>
      <c r="D27" s="3">
        <v>140.41999999999999</v>
      </c>
      <c r="E27" s="3">
        <v>137.46</v>
      </c>
      <c r="F27" s="3">
        <v>137.69</v>
      </c>
      <c r="G27" s="3">
        <v>137.41999999999999</v>
      </c>
      <c r="H27" s="4">
        <v>3031300</v>
      </c>
    </row>
    <row r="28" spans="2:8" ht="19" x14ac:dyDescent="0.25">
      <c r="B28" s="2">
        <v>45966</v>
      </c>
      <c r="C28" s="3">
        <v>140.47</v>
      </c>
      <c r="D28" s="3">
        <v>143.37</v>
      </c>
      <c r="E28" s="3">
        <v>138.26</v>
      </c>
      <c r="F28" s="3">
        <v>140.78</v>
      </c>
      <c r="G28" s="3">
        <v>140.5</v>
      </c>
      <c r="H28" s="4">
        <v>2351400</v>
      </c>
    </row>
    <row r="29" spans="2:8" ht="19" x14ac:dyDescent="0.25">
      <c r="B29" s="2">
        <v>45965</v>
      </c>
      <c r="C29" s="3">
        <v>136.75</v>
      </c>
      <c r="D29" s="3">
        <v>141.96</v>
      </c>
      <c r="E29" s="3">
        <v>135.21</v>
      </c>
      <c r="F29" s="3">
        <v>141.36000000000001</v>
      </c>
      <c r="G29" s="3">
        <v>141.08000000000001</v>
      </c>
      <c r="H29" s="4">
        <v>2588100</v>
      </c>
    </row>
    <row r="30" spans="2:8" ht="19" x14ac:dyDescent="0.25">
      <c r="B30" s="2">
        <v>45964</v>
      </c>
      <c r="C30" s="3">
        <v>140.22</v>
      </c>
      <c r="D30" s="3">
        <v>140.5</v>
      </c>
      <c r="E30" s="3">
        <v>135.12</v>
      </c>
      <c r="F30" s="3">
        <v>137.51</v>
      </c>
      <c r="G30" s="3">
        <v>137.24</v>
      </c>
      <c r="H30" s="4">
        <v>2462700</v>
      </c>
    </row>
    <row r="31" spans="2:8" ht="19" x14ac:dyDescent="0.25">
      <c r="B31" s="2">
        <v>45961</v>
      </c>
      <c r="C31" s="3">
        <v>136.4</v>
      </c>
      <c r="D31" s="3">
        <v>141.27000000000001</v>
      </c>
      <c r="E31" s="3">
        <v>134.58000000000001</v>
      </c>
      <c r="F31" s="3">
        <v>140.41999999999999</v>
      </c>
      <c r="G31" s="3">
        <v>140.13999999999999</v>
      </c>
      <c r="H31" s="4">
        <v>2377200</v>
      </c>
    </row>
    <row r="32" spans="2:8" ht="19" x14ac:dyDescent="0.25">
      <c r="B32" s="2">
        <v>45960</v>
      </c>
      <c r="C32" s="3">
        <v>136.32</v>
      </c>
      <c r="D32" s="3">
        <v>140.19999999999999</v>
      </c>
      <c r="E32" s="3">
        <v>134.84</v>
      </c>
      <c r="F32" s="3">
        <v>137.25</v>
      </c>
      <c r="G32" s="3">
        <v>136.97999999999999</v>
      </c>
      <c r="H32" s="4">
        <v>2762400</v>
      </c>
    </row>
    <row r="33" spans="2:8" ht="19" x14ac:dyDescent="0.25">
      <c r="B33" s="2">
        <v>45959</v>
      </c>
      <c r="C33" s="3">
        <v>142.03</v>
      </c>
      <c r="D33" s="3">
        <v>146.99</v>
      </c>
      <c r="E33" s="3">
        <v>134.03</v>
      </c>
      <c r="F33" s="3">
        <v>136.13</v>
      </c>
      <c r="G33" s="3">
        <v>135.86000000000001</v>
      </c>
      <c r="H33" s="4">
        <v>4290600</v>
      </c>
    </row>
    <row r="34" spans="2:8" ht="19" x14ac:dyDescent="0.25">
      <c r="B34" s="2">
        <v>45958</v>
      </c>
      <c r="C34" s="3">
        <v>138</v>
      </c>
      <c r="D34" s="3">
        <v>138.24</v>
      </c>
      <c r="E34" s="3">
        <v>135.77000000000001</v>
      </c>
      <c r="F34" s="3">
        <v>136.09</v>
      </c>
      <c r="G34" s="3">
        <v>135.82</v>
      </c>
      <c r="H34" s="4">
        <v>2065700</v>
      </c>
    </row>
    <row r="35" spans="2:8" ht="19" x14ac:dyDescent="0.25">
      <c r="B35" s="2">
        <v>45957</v>
      </c>
      <c r="C35" s="3">
        <v>136.26</v>
      </c>
      <c r="D35" s="3">
        <v>137.74</v>
      </c>
      <c r="E35" s="3">
        <v>134.34</v>
      </c>
      <c r="F35" s="3">
        <v>136.72999999999999</v>
      </c>
      <c r="G35" s="3">
        <v>136.46</v>
      </c>
      <c r="H35" s="4">
        <v>2082600</v>
      </c>
    </row>
    <row r="36" spans="2:8" ht="19" x14ac:dyDescent="0.25">
      <c r="B36" s="2">
        <v>45954</v>
      </c>
      <c r="C36" s="3">
        <v>137.85</v>
      </c>
      <c r="D36" s="3">
        <v>138.13999999999999</v>
      </c>
      <c r="E36" s="3">
        <v>135.86000000000001</v>
      </c>
      <c r="F36" s="3">
        <v>136.12</v>
      </c>
      <c r="G36" s="3">
        <v>135.85</v>
      </c>
      <c r="H36" s="4">
        <v>1145600</v>
      </c>
    </row>
    <row r="37" spans="2:8" ht="19" x14ac:dyDescent="0.25">
      <c r="B37" s="2">
        <v>45953</v>
      </c>
      <c r="C37" s="3">
        <v>140.55000000000001</v>
      </c>
      <c r="D37" s="3">
        <v>141.25</v>
      </c>
      <c r="E37" s="3">
        <v>134.43</v>
      </c>
      <c r="F37" s="3">
        <v>135.86000000000001</v>
      </c>
      <c r="G37" s="3">
        <v>135.59</v>
      </c>
      <c r="H37" s="4">
        <v>2090700</v>
      </c>
    </row>
    <row r="38" spans="2:8" ht="19" x14ac:dyDescent="0.25">
      <c r="B38" s="2">
        <v>45952</v>
      </c>
      <c r="C38" s="3">
        <v>143.09</v>
      </c>
      <c r="D38" s="3">
        <v>144.91</v>
      </c>
      <c r="E38" s="3">
        <v>140.72</v>
      </c>
      <c r="F38" s="3">
        <v>141.02000000000001</v>
      </c>
      <c r="G38" s="3">
        <v>140.74</v>
      </c>
      <c r="H38" s="4">
        <v>1603000</v>
      </c>
    </row>
    <row r="39" spans="2:8" ht="19" x14ac:dyDescent="0.25">
      <c r="B39" s="2">
        <v>45951</v>
      </c>
      <c r="C39" s="3">
        <v>140.13999999999999</v>
      </c>
      <c r="D39" s="3">
        <v>145</v>
      </c>
      <c r="E39" s="3">
        <v>139.74</v>
      </c>
      <c r="F39" s="3">
        <v>144.36000000000001</v>
      </c>
      <c r="G39" s="3">
        <v>144.07</v>
      </c>
      <c r="H39" s="4">
        <v>1862700</v>
      </c>
    </row>
    <row r="40" spans="2:8" ht="19" x14ac:dyDescent="0.25">
      <c r="B40" s="2">
        <v>45950</v>
      </c>
      <c r="C40" s="3">
        <v>138.58000000000001</v>
      </c>
      <c r="D40" s="3">
        <v>142.31</v>
      </c>
      <c r="E40" s="3">
        <v>137.68</v>
      </c>
      <c r="F40" s="3">
        <v>140.71</v>
      </c>
      <c r="G40" s="3">
        <v>140.43</v>
      </c>
      <c r="H40" s="4">
        <v>2009100</v>
      </c>
    </row>
    <row r="41" spans="2:8" ht="19" x14ac:dyDescent="0.25">
      <c r="B41" s="2">
        <v>45947</v>
      </c>
      <c r="C41" s="3">
        <v>138.72999999999999</v>
      </c>
      <c r="D41" s="3">
        <v>138.94999999999999</v>
      </c>
      <c r="E41" s="3">
        <v>136</v>
      </c>
      <c r="F41" s="3">
        <v>138.04</v>
      </c>
      <c r="G41" s="3">
        <v>137.77000000000001</v>
      </c>
      <c r="H41" s="4">
        <v>1870200</v>
      </c>
    </row>
    <row r="42" spans="2:8" ht="19" x14ac:dyDescent="0.25">
      <c r="B42" s="2">
        <v>45946</v>
      </c>
      <c r="C42" s="3">
        <v>139.88999999999999</v>
      </c>
      <c r="D42" s="3">
        <v>140.49</v>
      </c>
      <c r="E42" s="3">
        <v>135.5</v>
      </c>
      <c r="F42" s="3">
        <v>138.1</v>
      </c>
      <c r="G42" s="3">
        <v>137.83000000000001</v>
      </c>
      <c r="H42" s="4">
        <v>2326800</v>
      </c>
    </row>
    <row r="43" spans="2:8" ht="19" x14ac:dyDescent="0.25">
      <c r="B43" s="2">
        <v>45945</v>
      </c>
      <c r="C43" s="3">
        <v>135.46</v>
      </c>
      <c r="D43" s="3">
        <v>137.87</v>
      </c>
      <c r="E43" s="3">
        <v>134.78</v>
      </c>
      <c r="F43" s="3">
        <v>135.04</v>
      </c>
      <c r="G43" s="3">
        <v>134.77000000000001</v>
      </c>
      <c r="H43" s="4">
        <v>1884600</v>
      </c>
    </row>
    <row r="44" spans="2:8" ht="19" x14ac:dyDescent="0.25">
      <c r="B44" s="2">
        <v>45944</v>
      </c>
      <c r="C44" s="3">
        <v>134.71</v>
      </c>
      <c r="D44" s="3">
        <v>137.47999999999999</v>
      </c>
      <c r="E44" s="3">
        <v>134.03</v>
      </c>
      <c r="F44" s="3">
        <v>135.43</v>
      </c>
      <c r="G44" s="3">
        <v>135.16</v>
      </c>
      <c r="H44" s="4">
        <v>2628600</v>
      </c>
    </row>
    <row r="45" spans="2:8" ht="19" x14ac:dyDescent="0.25">
      <c r="B45" s="2">
        <v>45943</v>
      </c>
      <c r="C45" s="3">
        <v>135.56</v>
      </c>
      <c r="D45" s="3">
        <v>137.9</v>
      </c>
      <c r="E45" s="3">
        <v>135.25</v>
      </c>
      <c r="F45" s="3">
        <v>136.18</v>
      </c>
      <c r="G45" s="3">
        <v>135.91</v>
      </c>
      <c r="H45" s="4">
        <v>1282300</v>
      </c>
    </row>
    <row r="46" spans="2:8" ht="19" x14ac:dyDescent="0.25">
      <c r="B46" s="2">
        <v>45940</v>
      </c>
      <c r="C46" s="3">
        <v>141.85</v>
      </c>
      <c r="D46" s="3">
        <v>142.69</v>
      </c>
      <c r="E46" s="3">
        <v>134.19999999999999</v>
      </c>
      <c r="F46" s="3">
        <v>134.31</v>
      </c>
      <c r="G46" s="3">
        <v>134.04</v>
      </c>
      <c r="H46" s="4">
        <v>2136300</v>
      </c>
    </row>
    <row r="47" spans="2:8" ht="19" x14ac:dyDescent="0.25">
      <c r="B47" s="2">
        <v>45939</v>
      </c>
      <c r="C47" s="3">
        <v>144.5</v>
      </c>
      <c r="D47" s="3">
        <v>144.88</v>
      </c>
      <c r="E47" s="3">
        <v>140.1</v>
      </c>
      <c r="F47" s="3">
        <v>141.28</v>
      </c>
      <c r="G47" s="3">
        <v>141</v>
      </c>
      <c r="H47" s="4">
        <v>2049400</v>
      </c>
    </row>
    <row r="48" spans="2:8" ht="19" x14ac:dyDescent="0.25">
      <c r="B48" s="2">
        <v>45938</v>
      </c>
      <c r="C48" s="3">
        <v>140.63999999999999</v>
      </c>
      <c r="D48" s="3">
        <v>146.94</v>
      </c>
      <c r="E48" s="3">
        <v>139.54</v>
      </c>
      <c r="F48" s="3">
        <v>144.78</v>
      </c>
      <c r="G48" s="3">
        <v>144.49</v>
      </c>
      <c r="H48" s="4">
        <v>2244200</v>
      </c>
    </row>
    <row r="49" spans="2:8" ht="19" x14ac:dyDescent="0.25">
      <c r="B49" s="2">
        <v>45937</v>
      </c>
      <c r="C49" s="3">
        <v>142.63999999999999</v>
      </c>
      <c r="D49" s="3">
        <v>144.61000000000001</v>
      </c>
      <c r="E49" s="3">
        <v>140.29</v>
      </c>
      <c r="F49" s="3">
        <v>141.36000000000001</v>
      </c>
      <c r="G49" s="3">
        <v>141.08000000000001</v>
      </c>
      <c r="H49" s="4">
        <v>1478000</v>
      </c>
    </row>
    <row r="50" spans="2:8" ht="19" x14ac:dyDescent="0.25">
      <c r="B50" s="2">
        <v>45936</v>
      </c>
      <c r="C50" s="3">
        <v>141.52000000000001</v>
      </c>
      <c r="D50" s="3">
        <v>145.08000000000001</v>
      </c>
      <c r="E50" s="3">
        <v>140.04</v>
      </c>
      <c r="F50" s="3">
        <v>142.82</v>
      </c>
      <c r="G50" s="3">
        <v>142.54</v>
      </c>
      <c r="H50" s="4">
        <v>1477400</v>
      </c>
    </row>
    <row r="51" spans="2:8" ht="19" x14ac:dyDescent="0.25">
      <c r="B51" s="2">
        <v>45933</v>
      </c>
      <c r="C51" s="3">
        <v>141.09</v>
      </c>
      <c r="D51" s="3">
        <v>145.21</v>
      </c>
      <c r="E51" s="3">
        <v>141.09</v>
      </c>
      <c r="F51" s="3">
        <v>141.33000000000001</v>
      </c>
      <c r="G51" s="3">
        <v>141.05000000000001</v>
      </c>
      <c r="H51" s="4">
        <v>1806600</v>
      </c>
    </row>
    <row r="52" spans="2:8" ht="19" x14ac:dyDescent="0.25">
      <c r="B52" s="2">
        <v>45932</v>
      </c>
      <c r="C52" s="3">
        <v>138.99</v>
      </c>
      <c r="D52" s="3">
        <v>141.6</v>
      </c>
      <c r="E52" s="3">
        <v>137.99</v>
      </c>
      <c r="F52" s="3">
        <v>140.6</v>
      </c>
      <c r="G52" s="3">
        <v>140.32</v>
      </c>
      <c r="H52" s="4">
        <v>1502500</v>
      </c>
    </row>
    <row r="53" spans="2:8" ht="19" x14ac:dyDescent="0.25">
      <c r="B53" s="2">
        <v>45931</v>
      </c>
      <c r="C53" s="3">
        <v>139.35</v>
      </c>
      <c r="D53" s="3">
        <v>140.63999999999999</v>
      </c>
      <c r="E53" s="3">
        <v>136.82</v>
      </c>
      <c r="F53" s="3">
        <v>139.24</v>
      </c>
      <c r="G53" s="3">
        <v>138.96</v>
      </c>
      <c r="H53" s="4">
        <v>2305600</v>
      </c>
    </row>
    <row r="54" spans="2:8" ht="19" x14ac:dyDescent="0.25">
      <c r="B54" s="2">
        <v>45930</v>
      </c>
      <c r="C54" s="3">
        <v>140</v>
      </c>
      <c r="D54" s="3">
        <v>141.19999999999999</v>
      </c>
      <c r="E54" s="3">
        <v>138.07</v>
      </c>
      <c r="F54" s="3">
        <v>140.78</v>
      </c>
      <c r="G54" s="3">
        <v>140.5</v>
      </c>
      <c r="H54" s="4">
        <v>2368000</v>
      </c>
    </row>
    <row r="55" spans="2:8" ht="19" x14ac:dyDescent="0.25">
      <c r="B55" s="2">
        <v>45929</v>
      </c>
      <c r="C55" s="3">
        <v>139.63999999999999</v>
      </c>
      <c r="D55" s="3">
        <v>141.5</v>
      </c>
      <c r="E55" s="3">
        <v>136.6</v>
      </c>
      <c r="F55" s="3">
        <v>141.04</v>
      </c>
      <c r="G55" s="3">
        <v>140.76</v>
      </c>
      <c r="H55" s="4">
        <v>2682000</v>
      </c>
    </row>
    <row r="56" spans="2:8" ht="19" x14ac:dyDescent="0.25">
      <c r="B56" s="2">
        <v>45926</v>
      </c>
      <c r="C56" s="3">
        <v>140.62</v>
      </c>
      <c r="D56" s="3">
        <v>143.4</v>
      </c>
      <c r="E56" s="3">
        <v>133.69</v>
      </c>
      <c r="F56" s="3">
        <v>138.59</v>
      </c>
      <c r="G56" s="3">
        <v>138.32</v>
      </c>
      <c r="H56" s="4">
        <v>3893900</v>
      </c>
    </row>
    <row r="57" spans="2:8" ht="19" x14ac:dyDescent="0.25">
      <c r="B57" s="2">
        <v>45925</v>
      </c>
      <c r="C57" s="3">
        <v>141.16</v>
      </c>
      <c r="D57" s="3">
        <v>142.21</v>
      </c>
      <c r="E57" s="3">
        <v>139.66</v>
      </c>
      <c r="F57" s="3">
        <v>140.43</v>
      </c>
      <c r="G57" s="3">
        <v>140.15</v>
      </c>
      <c r="H57" s="4">
        <v>1923300</v>
      </c>
    </row>
    <row r="58" spans="2:8" ht="19" x14ac:dyDescent="0.25">
      <c r="B58" s="2">
        <v>45924</v>
      </c>
      <c r="C58" s="3">
        <v>139.07</v>
      </c>
      <c r="D58" s="3">
        <v>142.21</v>
      </c>
      <c r="E58" s="3">
        <v>139.07</v>
      </c>
      <c r="F58" s="3">
        <v>141.06</v>
      </c>
      <c r="G58" s="3">
        <v>140.78</v>
      </c>
      <c r="H58" s="4">
        <v>1667200</v>
      </c>
    </row>
    <row r="59" spans="2:8" ht="19" x14ac:dyDescent="0.25">
      <c r="B59" s="2">
        <v>45923</v>
      </c>
      <c r="C59" s="3">
        <v>139.08000000000001</v>
      </c>
      <c r="D59" s="3">
        <v>141.62</v>
      </c>
      <c r="E59" s="3">
        <v>138.66</v>
      </c>
      <c r="F59" s="3">
        <v>139.34</v>
      </c>
      <c r="G59" s="3">
        <v>139.06</v>
      </c>
      <c r="H59" s="4">
        <v>1541300</v>
      </c>
    </row>
    <row r="60" spans="2:8" ht="19" x14ac:dyDescent="0.25">
      <c r="B60" s="2">
        <v>45922</v>
      </c>
      <c r="C60" s="3">
        <v>140.83000000000001</v>
      </c>
      <c r="D60" s="3">
        <v>140.83000000000001</v>
      </c>
      <c r="E60" s="3">
        <v>138.66</v>
      </c>
      <c r="F60" s="3">
        <v>138.93</v>
      </c>
      <c r="G60" s="3">
        <v>138.65</v>
      </c>
      <c r="H60" s="4">
        <v>2093100</v>
      </c>
    </row>
    <row r="61" spans="2:8" ht="19" x14ac:dyDescent="0.25">
      <c r="B61" s="2">
        <v>45919</v>
      </c>
      <c r="C61" s="3">
        <v>142.85</v>
      </c>
      <c r="D61" s="3">
        <v>142.96</v>
      </c>
      <c r="E61" s="3">
        <v>140.09</v>
      </c>
      <c r="F61" s="3">
        <v>140.84</v>
      </c>
      <c r="G61" s="3">
        <v>140.56</v>
      </c>
      <c r="H61" s="4">
        <v>4264100</v>
      </c>
    </row>
    <row r="62" spans="2:8" ht="19" x14ac:dyDescent="0.25">
      <c r="B62" s="2">
        <v>45918</v>
      </c>
      <c r="C62" s="3">
        <v>142.27000000000001</v>
      </c>
      <c r="D62" s="3">
        <v>144.47999999999999</v>
      </c>
      <c r="E62" s="3">
        <v>141.12</v>
      </c>
      <c r="F62" s="3">
        <v>142.38999999999999</v>
      </c>
      <c r="G62" s="3">
        <v>142.11000000000001</v>
      </c>
      <c r="H62" s="4">
        <v>2222600</v>
      </c>
    </row>
    <row r="63" spans="2:8" ht="19" x14ac:dyDescent="0.25">
      <c r="B63" s="2">
        <v>45917</v>
      </c>
      <c r="C63" s="3">
        <v>146.66999999999999</v>
      </c>
      <c r="D63" s="3">
        <v>149.88</v>
      </c>
      <c r="E63" s="3">
        <v>141.54</v>
      </c>
      <c r="F63" s="3">
        <v>141.79</v>
      </c>
      <c r="G63" s="3">
        <v>141.51</v>
      </c>
      <c r="H63" s="4">
        <v>1977500</v>
      </c>
    </row>
    <row r="64" spans="2:8" ht="19" x14ac:dyDescent="0.25">
      <c r="B64" s="2">
        <v>45916</v>
      </c>
      <c r="C64" s="3">
        <v>145.80000000000001</v>
      </c>
      <c r="D64" s="3">
        <v>147.38999999999999</v>
      </c>
      <c r="E64" s="3">
        <v>144.63</v>
      </c>
      <c r="F64" s="3">
        <v>147.02000000000001</v>
      </c>
      <c r="G64" s="3">
        <v>146.72999999999999</v>
      </c>
      <c r="H64" s="4">
        <v>1707700</v>
      </c>
    </row>
    <row r="65" spans="2:8" ht="19" x14ac:dyDescent="0.25">
      <c r="B65" s="2">
        <v>45915</v>
      </c>
      <c r="C65" s="3">
        <v>145.33000000000001</v>
      </c>
      <c r="D65" s="3">
        <v>147.01</v>
      </c>
      <c r="E65" s="3">
        <v>143.81</v>
      </c>
      <c r="F65" s="3">
        <v>145.25</v>
      </c>
      <c r="G65" s="3">
        <v>144.96</v>
      </c>
      <c r="H65" s="4">
        <v>1582400</v>
      </c>
    </row>
    <row r="66" spans="2:8" ht="19" x14ac:dyDescent="0.25">
      <c r="B66" s="2">
        <v>45912</v>
      </c>
      <c r="C66" s="3">
        <v>149.13999999999999</v>
      </c>
      <c r="D66" s="3">
        <v>149.38999999999999</v>
      </c>
      <c r="E66" s="3">
        <v>144.47</v>
      </c>
      <c r="F66" s="3">
        <v>144.88999999999999</v>
      </c>
      <c r="G66" s="3">
        <v>144.6</v>
      </c>
      <c r="H66" s="4">
        <v>1864000</v>
      </c>
    </row>
    <row r="67" spans="2:8" ht="19" x14ac:dyDescent="0.25">
      <c r="B67" s="2">
        <v>45911</v>
      </c>
      <c r="C67" s="3">
        <v>145.72999999999999</v>
      </c>
      <c r="D67" s="3">
        <v>150.84</v>
      </c>
      <c r="E67" s="3">
        <v>145.59</v>
      </c>
      <c r="F67" s="3">
        <v>149.4</v>
      </c>
      <c r="G67" s="3">
        <v>149.1</v>
      </c>
      <c r="H67" s="4">
        <v>1682400</v>
      </c>
    </row>
    <row r="68" spans="2:8" ht="19" x14ac:dyDescent="0.25">
      <c r="B68" s="2">
        <v>45910</v>
      </c>
      <c r="C68" s="3">
        <v>147.02000000000001</v>
      </c>
      <c r="D68" s="3">
        <v>148.68</v>
      </c>
      <c r="E68" s="3">
        <v>144.88</v>
      </c>
      <c r="F68" s="3">
        <v>146.31</v>
      </c>
      <c r="G68" s="3">
        <v>146.02000000000001</v>
      </c>
      <c r="H68" s="4">
        <v>1199200</v>
      </c>
    </row>
    <row r="69" spans="2:8" ht="19" x14ac:dyDescent="0.25">
      <c r="B69" s="2">
        <v>45909</v>
      </c>
      <c r="C69" s="3">
        <v>150.65</v>
      </c>
      <c r="D69" s="3">
        <v>150.65</v>
      </c>
      <c r="E69" s="3">
        <v>147.74</v>
      </c>
      <c r="F69" s="3">
        <v>148.22</v>
      </c>
      <c r="G69" s="3">
        <v>147.93</v>
      </c>
      <c r="H69" s="4">
        <v>1311000</v>
      </c>
    </row>
    <row r="70" spans="2:8" ht="19" x14ac:dyDescent="0.25">
      <c r="B70" s="2">
        <v>45908</v>
      </c>
      <c r="C70" s="3">
        <v>150.9</v>
      </c>
      <c r="D70" s="3">
        <v>151.29</v>
      </c>
      <c r="E70" s="3">
        <v>147.62</v>
      </c>
      <c r="F70" s="3">
        <v>151.11000000000001</v>
      </c>
      <c r="G70" s="3">
        <v>150.81</v>
      </c>
      <c r="H70" s="4">
        <v>1603200</v>
      </c>
    </row>
    <row r="71" spans="2:8" ht="19" x14ac:dyDescent="0.25">
      <c r="B71" s="2">
        <v>45905</v>
      </c>
      <c r="C71" s="3">
        <v>149.27000000000001</v>
      </c>
      <c r="D71" s="3">
        <v>154.15</v>
      </c>
      <c r="E71" s="3">
        <v>148.79</v>
      </c>
      <c r="F71" s="3">
        <v>150.71</v>
      </c>
      <c r="G71" s="3">
        <v>150.41</v>
      </c>
      <c r="H71" s="4">
        <v>1891900</v>
      </c>
    </row>
    <row r="72" spans="2:8" ht="19" x14ac:dyDescent="0.25">
      <c r="B72" s="2">
        <v>45904</v>
      </c>
      <c r="C72" s="3">
        <v>145.93</v>
      </c>
      <c r="D72" s="3">
        <v>148.97</v>
      </c>
      <c r="E72" s="3">
        <v>140.71</v>
      </c>
      <c r="F72" s="3">
        <v>148.81</v>
      </c>
      <c r="G72" s="3">
        <v>148.52000000000001</v>
      </c>
      <c r="H72" s="4">
        <v>3284600</v>
      </c>
    </row>
    <row r="73" spans="2:8" ht="19" x14ac:dyDescent="0.25">
      <c r="B73" s="2">
        <v>45903</v>
      </c>
      <c r="C73" s="3">
        <v>149.05000000000001</v>
      </c>
      <c r="D73" s="3">
        <v>150.54</v>
      </c>
      <c r="E73" s="3">
        <v>147.77000000000001</v>
      </c>
      <c r="F73" s="3">
        <v>148.11000000000001</v>
      </c>
      <c r="G73" s="3">
        <v>147.82</v>
      </c>
      <c r="H73" s="4">
        <v>1485900</v>
      </c>
    </row>
    <row r="74" spans="2:8" ht="19" x14ac:dyDescent="0.25">
      <c r="B74" s="2">
        <v>45902</v>
      </c>
      <c r="C74" s="3">
        <v>148.65</v>
      </c>
      <c r="D74" s="3">
        <v>151.26</v>
      </c>
      <c r="E74" s="3">
        <v>148.03</v>
      </c>
      <c r="F74" s="3">
        <v>149.9</v>
      </c>
      <c r="G74" s="3">
        <v>149.32</v>
      </c>
      <c r="H74" s="4">
        <v>1794000</v>
      </c>
    </row>
    <row r="75" spans="2:8" ht="19" x14ac:dyDescent="0.25">
      <c r="B75" s="2">
        <v>45898</v>
      </c>
      <c r="C75" s="3">
        <v>149.62</v>
      </c>
      <c r="D75" s="3">
        <v>151.13</v>
      </c>
      <c r="E75" s="3">
        <v>148.19999999999999</v>
      </c>
      <c r="F75" s="3">
        <v>150.97</v>
      </c>
      <c r="G75" s="3">
        <v>150.38999999999999</v>
      </c>
      <c r="H75" s="4">
        <v>1679400</v>
      </c>
    </row>
    <row r="76" spans="2:8" ht="19" x14ac:dyDescent="0.25">
      <c r="B76" s="2">
        <v>45897</v>
      </c>
      <c r="C76" s="3">
        <v>154.36000000000001</v>
      </c>
      <c r="D76" s="3">
        <v>154.4</v>
      </c>
      <c r="E76" s="3">
        <v>147.44</v>
      </c>
      <c r="F76" s="3">
        <v>149.69999999999999</v>
      </c>
      <c r="G76" s="3">
        <v>149.12</v>
      </c>
      <c r="H76" s="4">
        <v>1977600</v>
      </c>
    </row>
    <row r="77" spans="2:8" ht="19" x14ac:dyDescent="0.25">
      <c r="B77" s="2">
        <v>45896</v>
      </c>
      <c r="C77" s="3">
        <v>153.81</v>
      </c>
      <c r="D77" s="3">
        <v>155.99</v>
      </c>
      <c r="E77" s="3">
        <v>152.55000000000001</v>
      </c>
      <c r="F77" s="3">
        <v>153.82</v>
      </c>
      <c r="G77" s="3">
        <v>153.22999999999999</v>
      </c>
      <c r="H77" s="4">
        <v>1975000</v>
      </c>
    </row>
    <row r="78" spans="2:8" ht="19" x14ac:dyDescent="0.25">
      <c r="B78" s="2">
        <v>45895</v>
      </c>
      <c r="C78" s="3">
        <v>154.44</v>
      </c>
      <c r="D78" s="3">
        <v>156.59</v>
      </c>
      <c r="E78" s="3">
        <v>153.82</v>
      </c>
      <c r="F78" s="3">
        <v>154.47999999999999</v>
      </c>
      <c r="G78" s="3">
        <v>153.88999999999999</v>
      </c>
      <c r="H78" s="4">
        <v>2155600</v>
      </c>
    </row>
    <row r="79" spans="2:8" ht="19" x14ac:dyDescent="0.25">
      <c r="B79" s="2">
        <v>45894</v>
      </c>
      <c r="C79" s="3">
        <v>158.52000000000001</v>
      </c>
      <c r="D79" s="3">
        <v>158.87</v>
      </c>
      <c r="E79" s="3">
        <v>154.69</v>
      </c>
      <c r="F79" s="3">
        <v>155.47</v>
      </c>
      <c r="G79" s="3">
        <v>154.87</v>
      </c>
      <c r="H79" s="4">
        <v>1721300</v>
      </c>
    </row>
    <row r="80" spans="2:8" ht="19" x14ac:dyDescent="0.25">
      <c r="B80" s="2">
        <v>45891</v>
      </c>
      <c r="C80" s="3">
        <v>150.21</v>
      </c>
      <c r="D80" s="3">
        <v>160.06</v>
      </c>
      <c r="E80" s="3">
        <v>149.99</v>
      </c>
      <c r="F80" s="3">
        <v>159.13</v>
      </c>
      <c r="G80" s="3">
        <v>158.52000000000001</v>
      </c>
      <c r="H80" s="4">
        <v>1962300</v>
      </c>
    </row>
    <row r="81" spans="2:8" ht="19" x14ac:dyDescent="0.25">
      <c r="B81" s="2">
        <v>45890</v>
      </c>
      <c r="C81" s="3">
        <v>149.32</v>
      </c>
      <c r="D81" s="3">
        <v>149.97999999999999</v>
      </c>
      <c r="E81" s="3">
        <v>147.16999999999999</v>
      </c>
      <c r="F81" s="3">
        <v>149.75</v>
      </c>
      <c r="G81" s="3">
        <v>149.16999999999999</v>
      </c>
      <c r="H81" s="4">
        <v>2050000</v>
      </c>
    </row>
    <row r="82" spans="2:8" ht="19" x14ac:dyDescent="0.25">
      <c r="B82" s="2">
        <v>45889</v>
      </c>
      <c r="C82" s="3">
        <v>153.88</v>
      </c>
      <c r="D82" s="3">
        <v>154.41999999999999</v>
      </c>
      <c r="E82" s="3">
        <v>150.13</v>
      </c>
      <c r="F82" s="3">
        <v>150.24</v>
      </c>
      <c r="G82" s="3">
        <v>149.66</v>
      </c>
      <c r="H82" s="4">
        <v>1512200</v>
      </c>
    </row>
    <row r="83" spans="2:8" ht="19" x14ac:dyDescent="0.25">
      <c r="B83" s="2">
        <v>45888</v>
      </c>
      <c r="C83" s="3">
        <v>151.9</v>
      </c>
      <c r="D83" s="3">
        <v>157.63</v>
      </c>
      <c r="E83" s="3">
        <v>151.33000000000001</v>
      </c>
      <c r="F83" s="3">
        <v>154.80000000000001</v>
      </c>
      <c r="G83" s="3">
        <v>154.21</v>
      </c>
      <c r="H83" s="4">
        <v>2958900</v>
      </c>
    </row>
    <row r="84" spans="2:8" ht="19" x14ac:dyDescent="0.25">
      <c r="B84" s="2">
        <v>45887</v>
      </c>
      <c r="C84" s="3">
        <v>151.32</v>
      </c>
      <c r="D84" s="3">
        <v>152.38999999999999</v>
      </c>
      <c r="E84" s="3">
        <v>149.96</v>
      </c>
      <c r="F84" s="3">
        <v>150.46</v>
      </c>
      <c r="G84" s="3">
        <v>149.88</v>
      </c>
      <c r="H84" s="4">
        <v>1136000</v>
      </c>
    </row>
    <row r="85" spans="2:8" ht="19" x14ac:dyDescent="0.25">
      <c r="B85" s="2">
        <v>45884</v>
      </c>
      <c r="C85" s="3">
        <v>152.12</v>
      </c>
      <c r="D85" s="3">
        <v>153.32</v>
      </c>
      <c r="E85" s="3">
        <v>151.02000000000001</v>
      </c>
      <c r="F85" s="3">
        <v>151.13999999999999</v>
      </c>
      <c r="G85" s="3">
        <v>150.56</v>
      </c>
      <c r="H85" s="4">
        <v>1499700</v>
      </c>
    </row>
    <row r="86" spans="2:8" ht="19" x14ac:dyDescent="0.25">
      <c r="B86" s="2">
        <v>45883</v>
      </c>
      <c r="C86" s="3">
        <v>151.99</v>
      </c>
      <c r="D86" s="3">
        <v>152.72</v>
      </c>
      <c r="E86" s="3">
        <v>149.31</v>
      </c>
      <c r="F86" s="3">
        <v>151.11000000000001</v>
      </c>
      <c r="G86" s="3">
        <v>150.53</v>
      </c>
      <c r="H86" s="4">
        <v>1662200</v>
      </c>
    </row>
    <row r="87" spans="2:8" ht="19" x14ac:dyDescent="0.25">
      <c r="B87" s="2">
        <v>45882</v>
      </c>
      <c r="C87" s="3">
        <v>149.1</v>
      </c>
      <c r="D87" s="3">
        <v>153.55000000000001</v>
      </c>
      <c r="E87" s="3">
        <v>148.61000000000001</v>
      </c>
      <c r="F87" s="3">
        <v>153.46</v>
      </c>
      <c r="G87" s="3">
        <v>152.87</v>
      </c>
      <c r="H87" s="4">
        <v>1983100</v>
      </c>
    </row>
    <row r="88" spans="2:8" ht="19" x14ac:dyDescent="0.25">
      <c r="B88" s="2">
        <v>45881</v>
      </c>
      <c r="C88" s="3">
        <v>143.49</v>
      </c>
      <c r="D88" s="3">
        <v>149.68</v>
      </c>
      <c r="E88" s="3">
        <v>143.04</v>
      </c>
      <c r="F88" s="3">
        <v>149.22999999999999</v>
      </c>
      <c r="G88" s="3">
        <v>148.66</v>
      </c>
      <c r="H88" s="4">
        <v>1568100</v>
      </c>
    </row>
    <row r="89" spans="2:8" ht="19" x14ac:dyDescent="0.25">
      <c r="B89" s="2">
        <v>45880</v>
      </c>
      <c r="C89" s="3">
        <v>144.53</v>
      </c>
      <c r="D89" s="3">
        <v>146.08000000000001</v>
      </c>
      <c r="E89" s="3">
        <v>140.91</v>
      </c>
      <c r="F89" s="3">
        <v>143.02000000000001</v>
      </c>
      <c r="G89" s="3">
        <v>142.47</v>
      </c>
      <c r="H89" s="4">
        <v>2071000</v>
      </c>
    </row>
    <row r="90" spans="2:8" ht="19" x14ac:dyDescent="0.25">
      <c r="B90" s="2">
        <v>45877</v>
      </c>
      <c r="C90" s="3">
        <v>145.44999999999999</v>
      </c>
      <c r="D90" s="3">
        <v>146.69</v>
      </c>
      <c r="E90" s="3">
        <v>143.78</v>
      </c>
      <c r="F90" s="3">
        <v>144.46</v>
      </c>
      <c r="G90" s="3">
        <v>143.9</v>
      </c>
      <c r="H90" s="4">
        <v>1440300</v>
      </c>
    </row>
    <row r="91" spans="2:8" ht="19" x14ac:dyDescent="0.25">
      <c r="B91" s="2">
        <v>45876</v>
      </c>
      <c r="C91" s="3">
        <v>150.54</v>
      </c>
      <c r="D91" s="3">
        <v>152.49</v>
      </c>
      <c r="E91" s="3">
        <v>144.71</v>
      </c>
      <c r="F91" s="3">
        <v>145.33000000000001</v>
      </c>
      <c r="G91" s="3">
        <v>144.77000000000001</v>
      </c>
      <c r="H91" s="4">
        <v>1806100</v>
      </c>
    </row>
    <row r="92" spans="2:8" ht="19" x14ac:dyDescent="0.25">
      <c r="B92" s="2">
        <v>45875</v>
      </c>
      <c r="C92" s="3">
        <v>147.27000000000001</v>
      </c>
      <c r="D92" s="3">
        <v>150.91</v>
      </c>
      <c r="E92" s="3">
        <v>146.80000000000001</v>
      </c>
      <c r="F92" s="3">
        <v>149.93</v>
      </c>
      <c r="G92" s="3">
        <v>149.35</v>
      </c>
      <c r="H92" s="4">
        <v>2849200</v>
      </c>
    </row>
    <row r="93" spans="2:8" ht="19" x14ac:dyDescent="0.25">
      <c r="B93" s="2">
        <v>45874</v>
      </c>
      <c r="C93" s="3">
        <v>144.38</v>
      </c>
      <c r="D93" s="3">
        <v>147.97</v>
      </c>
      <c r="E93" s="3">
        <v>144.08000000000001</v>
      </c>
      <c r="F93" s="3">
        <v>147.15</v>
      </c>
      <c r="G93" s="3">
        <v>146.58000000000001</v>
      </c>
      <c r="H93" s="4">
        <v>1790600</v>
      </c>
    </row>
    <row r="94" spans="2:8" ht="19" x14ac:dyDescent="0.25">
      <c r="B94" s="2">
        <v>45873</v>
      </c>
      <c r="C94" s="3">
        <v>142.04</v>
      </c>
      <c r="D94" s="3">
        <v>145.15</v>
      </c>
      <c r="E94" s="3">
        <v>141.88</v>
      </c>
      <c r="F94" s="3">
        <v>144.36000000000001</v>
      </c>
      <c r="G94" s="3">
        <v>143.81</v>
      </c>
      <c r="H94" s="4">
        <v>1694100</v>
      </c>
    </row>
    <row r="95" spans="2:8" ht="19" x14ac:dyDescent="0.25">
      <c r="B95" s="2">
        <v>45870</v>
      </c>
      <c r="C95" s="3">
        <v>148.13999999999999</v>
      </c>
      <c r="D95" s="3">
        <v>148.16</v>
      </c>
      <c r="E95" s="3">
        <v>141.72999999999999</v>
      </c>
      <c r="F95" s="3">
        <v>141.85</v>
      </c>
      <c r="G95" s="3">
        <v>141.30000000000001</v>
      </c>
      <c r="H95" s="4">
        <v>2653900</v>
      </c>
    </row>
    <row r="96" spans="2:8" ht="19" x14ac:dyDescent="0.25">
      <c r="B96" s="2">
        <v>45869</v>
      </c>
      <c r="C96" s="3">
        <v>148.79</v>
      </c>
      <c r="D96" s="3">
        <v>151.53</v>
      </c>
      <c r="E96" s="3">
        <v>147.5</v>
      </c>
      <c r="F96" s="3">
        <v>149.25</v>
      </c>
      <c r="G96" s="3">
        <v>148.68</v>
      </c>
      <c r="H96" s="4">
        <v>4285100</v>
      </c>
    </row>
    <row r="97" spans="2:8" ht="19" x14ac:dyDescent="0.25">
      <c r="B97" s="2">
        <v>45868</v>
      </c>
      <c r="C97" s="3">
        <v>152.5</v>
      </c>
      <c r="D97" s="3">
        <v>152.5</v>
      </c>
      <c r="E97" s="3">
        <v>144.5</v>
      </c>
      <c r="F97" s="3">
        <v>146.46</v>
      </c>
      <c r="G97" s="3">
        <v>145.9</v>
      </c>
      <c r="H97" s="4">
        <v>5557100</v>
      </c>
    </row>
    <row r="98" spans="2:8" ht="19" x14ac:dyDescent="0.25">
      <c r="B98" s="2">
        <v>45867</v>
      </c>
      <c r="C98" s="3">
        <v>164.32</v>
      </c>
      <c r="D98" s="3">
        <v>165.45</v>
      </c>
      <c r="E98" s="3">
        <v>161.55000000000001</v>
      </c>
      <c r="F98" s="3">
        <v>162.12</v>
      </c>
      <c r="G98" s="3">
        <v>161.5</v>
      </c>
      <c r="H98" s="4">
        <v>2771600</v>
      </c>
    </row>
    <row r="99" spans="2:8" ht="19" x14ac:dyDescent="0.25">
      <c r="B99" s="2">
        <v>45866</v>
      </c>
      <c r="C99" s="3">
        <v>166.48</v>
      </c>
      <c r="D99" s="3">
        <v>167.56</v>
      </c>
      <c r="E99" s="3">
        <v>164.16</v>
      </c>
      <c r="F99" s="3">
        <v>164.32</v>
      </c>
      <c r="G99" s="3">
        <v>163.69</v>
      </c>
      <c r="H99" s="4">
        <v>1634000</v>
      </c>
    </row>
    <row r="100" spans="2:8" ht="19" x14ac:dyDescent="0.25">
      <c r="B100" s="2">
        <v>45863</v>
      </c>
      <c r="C100" s="3">
        <v>173.37</v>
      </c>
      <c r="D100" s="3">
        <v>174.79</v>
      </c>
      <c r="E100" s="3">
        <v>163.78</v>
      </c>
      <c r="F100" s="3">
        <v>167.09</v>
      </c>
      <c r="G100" s="3">
        <v>166.45</v>
      </c>
      <c r="H100" s="4">
        <v>1747300</v>
      </c>
    </row>
    <row r="101" spans="2:8" ht="19" x14ac:dyDescent="0.25">
      <c r="B101" s="2">
        <v>45862</v>
      </c>
      <c r="C101" s="3">
        <v>166.52</v>
      </c>
      <c r="D101" s="3">
        <v>168.07</v>
      </c>
      <c r="E101" s="3">
        <v>164.49</v>
      </c>
      <c r="F101" s="3">
        <v>167.79</v>
      </c>
      <c r="G101" s="3">
        <v>167.15</v>
      </c>
      <c r="H101" s="4">
        <v>1315600</v>
      </c>
    </row>
    <row r="102" spans="2:8" ht="19" x14ac:dyDescent="0.25">
      <c r="B102" s="2">
        <v>45861</v>
      </c>
      <c r="C102" s="3">
        <v>167.76</v>
      </c>
      <c r="D102" s="3">
        <v>169</v>
      </c>
      <c r="E102" s="3">
        <v>165.84</v>
      </c>
      <c r="F102" s="3">
        <v>165.99</v>
      </c>
      <c r="G102" s="3">
        <v>165.35</v>
      </c>
      <c r="H102" s="4">
        <v>1577600</v>
      </c>
    </row>
    <row r="103" spans="2:8" ht="19" x14ac:dyDescent="0.25">
      <c r="B103" s="2">
        <v>45860</v>
      </c>
      <c r="C103" s="3">
        <v>164.56</v>
      </c>
      <c r="D103" s="3">
        <v>167.3</v>
      </c>
      <c r="E103" s="3">
        <v>162.66999999999999</v>
      </c>
      <c r="F103" s="3">
        <v>166.89</v>
      </c>
      <c r="G103" s="3">
        <v>166.25</v>
      </c>
      <c r="H103" s="4">
        <v>1229000</v>
      </c>
    </row>
    <row r="104" spans="2:8" ht="19" x14ac:dyDescent="0.25">
      <c r="B104" s="2">
        <v>45859</v>
      </c>
      <c r="C104" s="3">
        <v>162.82</v>
      </c>
      <c r="D104" s="3">
        <v>165.86</v>
      </c>
      <c r="E104" s="3">
        <v>162.25</v>
      </c>
      <c r="F104" s="3">
        <v>163.25</v>
      </c>
      <c r="G104" s="3">
        <v>162.62</v>
      </c>
      <c r="H104" s="4">
        <v>1080100</v>
      </c>
    </row>
    <row r="105" spans="2:8" ht="19" x14ac:dyDescent="0.25">
      <c r="B105" s="2">
        <v>45856</v>
      </c>
      <c r="C105" s="3">
        <v>165.51</v>
      </c>
      <c r="D105" s="3">
        <v>165.68</v>
      </c>
      <c r="E105" s="3">
        <v>160.44999999999999</v>
      </c>
      <c r="F105" s="3">
        <v>162.09</v>
      </c>
      <c r="G105" s="3">
        <v>161.47</v>
      </c>
      <c r="H105" s="4">
        <v>1548700</v>
      </c>
    </row>
    <row r="106" spans="2:8" ht="19" x14ac:dyDescent="0.25">
      <c r="B106" s="2">
        <v>45855</v>
      </c>
      <c r="C106" s="3">
        <v>161.02000000000001</v>
      </c>
      <c r="D106" s="3">
        <v>163.89</v>
      </c>
      <c r="E106" s="3">
        <v>160.83000000000001</v>
      </c>
      <c r="F106" s="3">
        <v>162.22999999999999</v>
      </c>
      <c r="G106" s="3">
        <v>161.61000000000001</v>
      </c>
      <c r="H106" s="4">
        <v>1770100</v>
      </c>
    </row>
    <row r="107" spans="2:8" ht="19" x14ac:dyDescent="0.25">
      <c r="B107" s="2">
        <v>45854</v>
      </c>
      <c r="C107" s="3">
        <v>163.68</v>
      </c>
      <c r="D107" s="3">
        <v>164.5</v>
      </c>
      <c r="E107" s="3">
        <v>159.19999999999999</v>
      </c>
      <c r="F107" s="3">
        <v>160.83000000000001</v>
      </c>
      <c r="G107" s="3">
        <v>160.21</v>
      </c>
      <c r="H107" s="4">
        <v>1452400</v>
      </c>
    </row>
    <row r="108" spans="2:8" ht="19" x14ac:dyDescent="0.25">
      <c r="B108" s="2">
        <v>45853</v>
      </c>
      <c r="C108" s="3">
        <v>166.64</v>
      </c>
      <c r="D108" s="3">
        <v>166.81</v>
      </c>
      <c r="E108" s="3">
        <v>161.19999999999999</v>
      </c>
      <c r="F108" s="3">
        <v>161.35</v>
      </c>
      <c r="G108" s="3">
        <v>160.72999999999999</v>
      </c>
      <c r="H108" s="4">
        <v>1142200</v>
      </c>
    </row>
    <row r="109" spans="2:8" ht="19" x14ac:dyDescent="0.25">
      <c r="B109" s="2">
        <v>45852</v>
      </c>
      <c r="C109" s="3">
        <v>166.52</v>
      </c>
      <c r="D109" s="3">
        <v>167.6</v>
      </c>
      <c r="E109" s="3">
        <v>164.48</v>
      </c>
      <c r="F109" s="3">
        <v>165.73</v>
      </c>
      <c r="G109" s="3">
        <v>165.09</v>
      </c>
      <c r="H109" s="4">
        <v>1017200</v>
      </c>
    </row>
    <row r="110" spans="2:8" ht="19" x14ac:dyDescent="0.25">
      <c r="B110" s="2">
        <v>45849</v>
      </c>
      <c r="C110" s="3">
        <v>169.7</v>
      </c>
      <c r="D110" s="3">
        <v>170.53</v>
      </c>
      <c r="E110" s="3">
        <v>167.27</v>
      </c>
      <c r="F110" s="3">
        <v>167.73</v>
      </c>
      <c r="G110" s="3">
        <v>167.09</v>
      </c>
      <c r="H110" s="4">
        <v>1137600</v>
      </c>
    </row>
    <row r="111" spans="2:8" ht="19" x14ac:dyDescent="0.25">
      <c r="B111" s="2">
        <v>45848</v>
      </c>
      <c r="C111" s="3">
        <v>168</v>
      </c>
      <c r="D111" s="3">
        <v>173.26</v>
      </c>
      <c r="E111" s="3">
        <v>167.35</v>
      </c>
      <c r="F111" s="3">
        <v>171.12</v>
      </c>
      <c r="G111" s="3">
        <v>170.46</v>
      </c>
      <c r="H111" s="4">
        <v>1262300</v>
      </c>
    </row>
    <row r="112" spans="2:8" ht="19" x14ac:dyDescent="0.25">
      <c r="B112" s="2">
        <v>45847</v>
      </c>
      <c r="C112" s="3">
        <v>167.5</v>
      </c>
      <c r="D112" s="3">
        <v>169.12</v>
      </c>
      <c r="E112" s="3">
        <v>166.3</v>
      </c>
      <c r="F112" s="3">
        <v>168.01</v>
      </c>
      <c r="G112" s="3">
        <v>167.36</v>
      </c>
      <c r="H112" s="4">
        <v>896600</v>
      </c>
    </row>
    <row r="113" spans="2:8" ht="19" x14ac:dyDescent="0.25">
      <c r="B113" s="2">
        <v>45846</v>
      </c>
      <c r="C113" s="3">
        <v>164.09</v>
      </c>
      <c r="D113" s="3">
        <v>169.39</v>
      </c>
      <c r="E113" s="3">
        <v>163.86</v>
      </c>
      <c r="F113" s="3">
        <v>167.38</v>
      </c>
      <c r="G113" s="3">
        <v>166.74</v>
      </c>
      <c r="H113" s="4">
        <v>1971000</v>
      </c>
    </row>
    <row r="114" spans="2:8" ht="19" x14ac:dyDescent="0.25">
      <c r="B114" s="2">
        <v>45845</v>
      </c>
      <c r="C114" s="3">
        <v>169.75</v>
      </c>
      <c r="D114" s="3">
        <v>170.67</v>
      </c>
      <c r="E114" s="3">
        <v>163.63</v>
      </c>
      <c r="F114" s="3">
        <v>164.31</v>
      </c>
      <c r="G114" s="3">
        <v>163.68</v>
      </c>
      <c r="H114" s="4">
        <v>1496900</v>
      </c>
    </row>
    <row r="115" spans="2:8" ht="19" x14ac:dyDescent="0.25">
      <c r="B115" s="2">
        <v>45841</v>
      </c>
      <c r="C115" s="3">
        <v>170.51</v>
      </c>
      <c r="D115" s="3">
        <v>172.62</v>
      </c>
      <c r="E115" s="3">
        <v>169.77</v>
      </c>
      <c r="F115" s="3">
        <v>171.03</v>
      </c>
      <c r="G115" s="3">
        <v>170.37</v>
      </c>
      <c r="H115" s="4">
        <v>1369300</v>
      </c>
    </row>
    <row r="116" spans="2:8" ht="19" x14ac:dyDescent="0.25">
      <c r="B116" s="2">
        <v>45840</v>
      </c>
      <c r="C116" s="3">
        <v>168.64</v>
      </c>
      <c r="D116" s="3">
        <v>171.06</v>
      </c>
      <c r="E116" s="3">
        <v>166.95</v>
      </c>
      <c r="F116" s="3">
        <v>169.85</v>
      </c>
      <c r="G116" s="3">
        <v>169.2</v>
      </c>
      <c r="H116" s="4">
        <v>1465200</v>
      </c>
    </row>
    <row r="117" spans="2:8" ht="19" x14ac:dyDescent="0.25">
      <c r="B117" s="2">
        <v>45839</v>
      </c>
      <c r="C117" s="3">
        <v>162.05000000000001</v>
      </c>
      <c r="D117" s="3">
        <v>172.24</v>
      </c>
      <c r="E117" s="3">
        <v>160.57</v>
      </c>
      <c r="F117" s="3">
        <v>168.45</v>
      </c>
      <c r="G117" s="3">
        <v>167.8</v>
      </c>
      <c r="H117" s="4">
        <v>2076800</v>
      </c>
    </row>
    <row r="118" spans="2:8" ht="19" x14ac:dyDescent="0.25">
      <c r="B118" s="2">
        <v>45838</v>
      </c>
      <c r="C118" s="3">
        <v>163.82</v>
      </c>
      <c r="D118" s="3">
        <v>164.45</v>
      </c>
      <c r="E118" s="3">
        <v>161.32</v>
      </c>
      <c r="F118" s="3">
        <v>162.30000000000001</v>
      </c>
      <c r="G118" s="3">
        <v>161.68</v>
      </c>
      <c r="H118" s="4">
        <v>1884800</v>
      </c>
    </row>
    <row r="119" spans="2:8" ht="19" x14ac:dyDescent="0.25">
      <c r="B119" s="2">
        <v>45835</v>
      </c>
      <c r="C119" s="3">
        <v>161.57</v>
      </c>
      <c r="D119" s="3">
        <v>164.16</v>
      </c>
      <c r="E119" s="3">
        <v>161.36000000000001</v>
      </c>
      <c r="F119" s="3">
        <v>163.68</v>
      </c>
      <c r="G119" s="3">
        <v>163.05000000000001</v>
      </c>
      <c r="H119" s="4">
        <v>6623100</v>
      </c>
    </row>
    <row r="120" spans="2:8" ht="19" x14ac:dyDescent="0.25">
      <c r="B120" s="2">
        <v>45834</v>
      </c>
      <c r="C120" s="3">
        <v>160.93</v>
      </c>
      <c r="D120" s="3">
        <v>162.16</v>
      </c>
      <c r="E120" s="3">
        <v>159.93</v>
      </c>
      <c r="F120" s="3">
        <v>160.99</v>
      </c>
      <c r="G120" s="3">
        <v>160.37</v>
      </c>
      <c r="H120" s="4">
        <v>1672000</v>
      </c>
    </row>
    <row r="121" spans="2:8" ht="19" x14ac:dyDescent="0.25">
      <c r="B121" s="2">
        <v>45833</v>
      </c>
      <c r="C121" s="3">
        <v>161.88</v>
      </c>
      <c r="D121" s="3">
        <v>162.08000000000001</v>
      </c>
      <c r="E121" s="3">
        <v>159.13</v>
      </c>
      <c r="F121" s="3">
        <v>160.35</v>
      </c>
      <c r="G121" s="3">
        <v>159.72999999999999</v>
      </c>
      <c r="H121" s="4">
        <v>1400600</v>
      </c>
    </row>
    <row r="122" spans="2:8" ht="19" x14ac:dyDescent="0.25">
      <c r="B122" s="2">
        <v>45832</v>
      </c>
      <c r="C122" s="3">
        <v>162.22</v>
      </c>
      <c r="D122" s="3">
        <v>163.77000000000001</v>
      </c>
      <c r="E122" s="3">
        <v>161.46</v>
      </c>
      <c r="F122" s="3">
        <v>161.97</v>
      </c>
      <c r="G122" s="3">
        <v>161.35</v>
      </c>
      <c r="H122" s="4">
        <v>1177300</v>
      </c>
    </row>
    <row r="123" spans="2:8" ht="19" x14ac:dyDescent="0.25">
      <c r="B123" s="2">
        <v>45831</v>
      </c>
      <c r="C123" s="3">
        <v>155.87</v>
      </c>
      <c r="D123" s="3">
        <v>161.44</v>
      </c>
      <c r="E123" s="3">
        <v>155.05000000000001</v>
      </c>
      <c r="F123" s="3">
        <v>161.36000000000001</v>
      </c>
      <c r="G123" s="3">
        <v>160.74</v>
      </c>
      <c r="H123" s="4">
        <v>1256400</v>
      </c>
    </row>
    <row r="124" spans="2:8" ht="19" x14ac:dyDescent="0.25">
      <c r="B124" s="2">
        <v>45828</v>
      </c>
      <c r="C124" s="3">
        <v>157.24</v>
      </c>
      <c r="D124" s="3">
        <v>159.31</v>
      </c>
      <c r="E124" s="3">
        <v>155.55000000000001</v>
      </c>
      <c r="F124" s="3">
        <v>156.46</v>
      </c>
      <c r="G124" s="3">
        <v>155.86000000000001</v>
      </c>
      <c r="H124" s="4">
        <v>2545800</v>
      </c>
    </row>
    <row r="125" spans="2:8" ht="19" x14ac:dyDescent="0.25">
      <c r="B125" s="2">
        <v>45826</v>
      </c>
      <c r="C125" s="3">
        <v>156.82</v>
      </c>
      <c r="D125" s="3">
        <v>158.91</v>
      </c>
      <c r="E125" s="3">
        <v>155.72</v>
      </c>
      <c r="F125" s="3">
        <v>156.03</v>
      </c>
      <c r="G125" s="3">
        <v>155.43</v>
      </c>
      <c r="H125" s="4">
        <v>1281200</v>
      </c>
    </row>
    <row r="126" spans="2:8" ht="19" x14ac:dyDescent="0.25">
      <c r="B126" s="2">
        <v>45825</v>
      </c>
      <c r="C126" s="3">
        <v>160.5</v>
      </c>
      <c r="D126" s="3">
        <v>160.5</v>
      </c>
      <c r="E126" s="3">
        <v>156.06</v>
      </c>
      <c r="F126" s="3">
        <v>156.66999999999999</v>
      </c>
      <c r="G126" s="3">
        <v>156.07</v>
      </c>
      <c r="H126" s="4">
        <v>1298800</v>
      </c>
    </row>
    <row r="127" spans="2:8" ht="19" x14ac:dyDescent="0.25">
      <c r="B127" s="2">
        <v>45824</v>
      </c>
      <c r="C127" s="3">
        <v>161.19999999999999</v>
      </c>
      <c r="D127" s="3">
        <v>161.4</v>
      </c>
      <c r="E127" s="3">
        <v>158.25</v>
      </c>
      <c r="F127" s="3">
        <v>159.44999999999999</v>
      </c>
      <c r="G127" s="3">
        <v>158.84</v>
      </c>
      <c r="H127" s="4">
        <v>1998300</v>
      </c>
    </row>
    <row r="128" spans="2:8" ht="19" x14ac:dyDescent="0.25">
      <c r="B128" s="2">
        <v>45821</v>
      </c>
      <c r="C128" s="3">
        <v>160.16</v>
      </c>
      <c r="D128" s="3">
        <v>161.99</v>
      </c>
      <c r="E128" s="3">
        <v>159.65</v>
      </c>
      <c r="F128" s="3">
        <v>160.18</v>
      </c>
      <c r="G128" s="3">
        <v>159.56</v>
      </c>
      <c r="H128" s="4">
        <v>1530700</v>
      </c>
    </row>
    <row r="129" spans="2:8" ht="19" x14ac:dyDescent="0.25">
      <c r="B129" s="2">
        <v>45820</v>
      </c>
      <c r="C129" s="3">
        <v>161.47999999999999</v>
      </c>
      <c r="D129" s="3">
        <v>163.05000000000001</v>
      </c>
      <c r="E129" s="3">
        <v>159.41999999999999</v>
      </c>
      <c r="F129" s="3">
        <v>162.41</v>
      </c>
      <c r="G129" s="3">
        <v>161.79</v>
      </c>
      <c r="H129" s="4">
        <v>1305900</v>
      </c>
    </row>
    <row r="130" spans="2:8" ht="19" x14ac:dyDescent="0.25">
      <c r="B130" s="2">
        <v>45819</v>
      </c>
      <c r="C130" s="3">
        <v>168.53</v>
      </c>
      <c r="D130" s="3">
        <v>170.26</v>
      </c>
      <c r="E130" s="3">
        <v>161.57</v>
      </c>
      <c r="F130" s="3">
        <v>162.11000000000001</v>
      </c>
      <c r="G130" s="3">
        <v>161.49</v>
      </c>
      <c r="H130" s="4">
        <v>1710500</v>
      </c>
    </row>
    <row r="131" spans="2:8" ht="19" x14ac:dyDescent="0.25">
      <c r="B131" s="2">
        <v>45818</v>
      </c>
      <c r="C131" s="3">
        <v>163.87</v>
      </c>
      <c r="D131" s="3">
        <v>168.14</v>
      </c>
      <c r="E131" s="3">
        <v>162.93</v>
      </c>
      <c r="F131" s="3">
        <v>167.89</v>
      </c>
      <c r="G131" s="3">
        <v>167.24</v>
      </c>
      <c r="H131" s="4">
        <v>1916500</v>
      </c>
    </row>
    <row r="132" spans="2:8" ht="19" x14ac:dyDescent="0.25">
      <c r="B132" s="2">
        <v>45817</v>
      </c>
      <c r="C132" s="3">
        <v>161.11000000000001</v>
      </c>
      <c r="D132" s="3">
        <v>163.89</v>
      </c>
      <c r="E132" s="3">
        <v>159.41999999999999</v>
      </c>
      <c r="F132" s="3">
        <v>162.21</v>
      </c>
      <c r="G132" s="3">
        <v>161.59</v>
      </c>
      <c r="H132" s="4">
        <v>1198900</v>
      </c>
    </row>
    <row r="133" spans="2:8" ht="19" x14ac:dyDescent="0.25">
      <c r="B133" s="2">
        <v>45814</v>
      </c>
      <c r="C133" s="3">
        <v>162.54</v>
      </c>
      <c r="D133" s="3">
        <v>163.32</v>
      </c>
      <c r="E133" s="3">
        <v>159.74</v>
      </c>
      <c r="F133" s="3">
        <v>160.33000000000001</v>
      </c>
      <c r="G133" s="3">
        <v>159.71</v>
      </c>
      <c r="H133" s="4">
        <v>1232600</v>
      </c>
    </row>
    <row r="134" spans="2:8" ht="19" x14ac:dyDescent="0.25">
      <c r="B134" s="2">
        <v>45813</v>
      </c>
      <c r="C134" s="3">
        <v>160.13999999999999</v>
      </c>
      <c r="D134" s="3">
        <v>161.53</v>
      </c>
      <c r="E134" s="3">
        <v>157.94</v>
      </c>
      <c r="F134" s="3">
        <v>159.68</v>
      </c>
      <c r="G134" s="3">
        <v>159.07</v>
      </c>
      <c r="H134" s="4">
        <v>1320100</v>
      </c>
    </row>
    <row r="135" spans="2:8" ht="19" x14ac:dyDescent="0.25">
      <c r="B135" s="2">
        <v>45812</v>
      </c>
      <c r="C135" s="3">
        <v>162.37</v>
      </c>
      <c r="D135" s="3">
        <v>163.19</v>
      </c>
      <c r="E135" s="3">
        <v>160.01</v>
      </c>
      <c r="F135" s="3">
        <v>161.49</v>
      </c>
      <c r="G135" s="3">
        <v>160.87</v>
      </c>
      <c r="H135" s="4">
        <v>1318200</v>
      </c>
    </row>
    <row r="136" spans="2:8" ht="19" x14ac:dyDescent="0.25">
      <c r="B136" s="2">
        <v>45811</v>
      </c>
      <c r="C136" s="3">
        <v>159.61000000000001</v>
      </c>
      <c r="D136" s="3">
        <v>163.53</v>
      </c>
      <c r="E136" s="3">
        <v>158.28</v>
      </c>
      <c r="F136" s="3">
        <v>163.03</v>
      </c>
      <c r="G136" s="3">
        <v>162.12</v>
      </c>
      <c r="H136" s="4">
        <v>1367600</v>
      </c>
    </row>
    <row r="137" spans="2:8" ht="19" x14ac:dyDescent="0.25">
      <c r="B137" s="2">
        <v>45810</v>
      </c>
      <c r="C137" s="3">
        <v>161.94999999999999</v>
      </c>
      <c r="D137" s="3">
        <v>161.96</v>
      </c>
      <c r="E137" s="3">
        <v>157.26</v>
      </c>
      <c r="F137" s="3">
        <v>160</v>
      </c>
      <c r="G137" s="3">
        <v>159.11000000000001</v>
      </c>
      <c r="H137" s="4">
        <v>1563500</v>
      </c>
    </row>
    <row r="138" spans="2:8" ht="19" x14ac:dyDescent="0.25">
      <c r="B138" s="2">
        <v>45807</v>
      </c>
      <c r="C138" s="3">
        <v>161.85</v>
      </c>
      <c r="D138" s="3">
        <v>162.44999999999999</v>
      </c>
      <c r="E138" s="3">
        <v>158.96</v>
      </c>
      <c r="F138" s="3">
        <v>160.16999999999999</v>
      </c>
      <c r="G138" s="3">
        <v>159.28</v>
      </c>
      <c r="H138" s="4">
        <v>2898000</v>
      </c>
    </row>
    <row r="139" spans="2:8" ht="19" x14ac:dyDescent="0.25">
      <c r="B139" s="2">
        <v>45806</v>
      </c>
      <c r="C139" s="3">
        <v>163.92</v>
      </c>
      <c r="D139" s="3">
        <v>164.08</v>
      </c>
      <c r="E139" s="3">
        <v>160.91</v>
      </c>
      <c r="F139" s="3">
        <v>162.01</v>
      </c>
      <c r="G139" s="3">
        <v>161.11000000000001</v>
      </c>
      <c r="H139" s="4">
        <v>1301800</v>
      </c>
    </row>
    <row r="140" spans="2:8" ht="19" x14ac:dyDescent="0.25">
      <c r="B140" s="2">
        <v>45805</v>
      </c>
      <c r="C140" s="3">
        <v>165</v>
      </c>
      <c r="D140" s="3">
        <v>165.13</v>
      </c>
      <c r="E140" s="3">
        <v>162.16</v>
      </c>
      <c r="F140" s="3">
        <v>162.43</v>
      </c>
      <c r="G140" s="3">
        <v>161.53</v>
      </c>
      <c r="H140" s="4">
        <v>1015800</v>
      </c>
    </row>
    <row r="141" spans="2:8" ht="19" x14ac:dyDescent="0.25">
      <c r="B141" s="2">
        <v>45804</v>
      </c>
      <c r="C141" s="3">
        <v>164.71</v>
      </c>
      <c r="D141" s="3">
        <v>164.71</v>
      </c>
      <c r="E141" s="3">
        <v>161.07</v>
      </c>
      <c r="F141" s="3">
        <v>164.21</v>
      </c>
      <c r="G141" s="3">
        <v>163.30000000000001</v>
      </c>
      <c r="H141" s="4">
        <v>2223400</v>
      </c>
    </row>
    <row r="142" spans="2:8" ht="19" x14ac:dyDescent="0.25">
      <c r="B142" s="2">
        <v>45800</v>
      </c>
      <c r="C142" s="3">
        <v>159.66999999999999</v>
      </c>
      <c r="D142" s="3">
        <v>162.65</v>
      </c>
      <c r="E142" s="3">
        <v>158.57</v>
      </c>
      <c r="F142" s="3">
        <v>161.56</v>
      </c>
      <c r="G142" s="3">
        <v>160.66</v>
      </c>
      <c r="H142" s="4">
        <v>896100</v>
      </c>
    </row>
    <row r="143" spans="2:8" ht="19" x14ac:dyDescent="0.25">
      <c r="B143" s="2">
        <v>45799</v>
      </c>
      <c r="C143" s="3">
        <v>164.14</v>
      </c>
      <c r="D143" s="3">
        <v>164.56</v>
      </c>
      <c r="E143" s="3">
        <v>162.34</v>
      </c>
      <c r="F143" s="3">
        <v>163.6</v>
      </c>
      <c r="G143" s="3">
        <v>162.69</v>
      </c>
      <c r="H143" s="4">
        <v>1264400</v>
      </c>
    </row>
    <row r="144" spans="2:8" ht="19" x14ac:dyDescent="0.25">
      <c r="B144" s="2">
        <v>45798</v>
      </c>
      <c r="C144" s="3">
        <v>166.94</v>
      </c>
      <c r="D144" s="3">
        <v>168.65</v>
      </c>
      <c r="E144" s="3">
        <v>164.16</v>
      </c>
      <c r="F144" s="3">
        <v>164.19</v>
      </c>
      <c r="G144" s="3">
        <v>163.28</v>
      </c>
      <c r="H144" s="4">
        <v>2048800</v>
      </c>
    </row>
    <row r="145" spans="2:8" ht="19" x14ac:dyDescent="0.25">
      <c r="B145" s="2">
        <v>45797</v>
      </c>
      <c r="C145" s="3">
        <v>170.4</v>
      </c>
      <c r="D145" s="3">
        <v>171.72</v>
      </c>
      <c r="E145" s="3">
        <v>168.81</v>
      </c>
      <c r="F145" s="3">
        <v>169.6</v>
      </c>
      <c r="G145" s="3">
        <v>168.66</v>
      </c>
      <c r="H145" s="4">
        <v>1886500</v>
      </c>
    </row>
    <row r="146" spans="2:8" ht="19" x14ac:dyDescent="0.25">
      <c r="B146" s="2">
        <v>45796</v>
      </c>
      <c r="C146" s="3">
        <v>168.99</v>
      </c>
      <c r="D146" s="3">
        <v>172.39</v>
      </c>
      <c r="E146" s="3">
        <v>167.84</v>
      </c>
      <c r="F146" s="3">
        <v>171.61</v>
      </c>
      <c r="G146" s="3">
        <v>170.66</v>
      </c>
      <c r="H146" s="4">
        <v>2107100</v>
      </c>
    </row>
    <row r="147" spans="2:8" ht="19" x14ac:dyDescent="0.25">
      <c r="B147" s="2">
        <v>45793</v>
      </c>
      <c r="C147" s="3">
        <v>171.19</v>
      </c>
      <c r="D147" s="3">
        <v>171.54</v>
      </c>
      <c r="E147" s="3">
        <v>168.95</v>
      </c>
      <c r="F147" s="3">
        <v>171.28</v>
      </c>
      <c r="G147" s="3">
        <v>170.33</v>
      </c>
      <c r="H147" s="4">
        <v>1098200</v>
      </c>
    </row>
    <row r="148" spans="2:8" ht="19" x14ac:dyDescent="0.25">
      <c r="B148" s="2">
        <v>45792</v>
      </c>
      <c r="C148" s="3">
        <v>170.55</v>
      </c>
      <c r="D148" s="3">
        <v>171.33</v>
      </c>
      <c r="E148" s="3">
        <v>168.8</v>
      </c>
      <c r="F148" s="3">
        <v>169.93</v>
      </c>
      <c r="G148" s="3">
        <v>168.99</v>
      </c>
      <c r="H148" s="4">
        <v>1652400</v>
      </c>
    </row>
    <row r="149" spans="2:8" ht="19" x14ac:dyDescent="0.25">
      <c r="B149" s="2">
        <v>45791</v>
      </c>
      <c r="C149" s="3">
        <v>170.47</v>
      </c>
      <c r="D149" s="3">
        <v>172</v>
      </c>
      <c r="E149" s="3">
        <v>168.37</v>
      </c>
      <c r="F149" s="3">
        <v>171.65</v>
      </c>
      <c r="G149" s="3">
        <v>170.7</v>
      </c>
      <c r="H149" s="4">
        <v>1470400</v>
      </c>
    </row>
    <row r="150" spans="2:8" ht="19" x14ac:dyDescent="0.25">
      <c r="B150" s="2">
        <v>45790</v>
      </c>
      <c r="C150" s="3">
        <v>175.96</v>
      </c>
      <c r="D150" s="3">
        <v>176.37</v>
      </c>
      <c r="E150" s="3">
        <v>171.24</v>
      </c>
      <c r="F150" s="3">
        <v>171.34</v>
      </c>
      <c r="G150" s="3">
        <v>170.39</v>
      </c>
      <c r="H150" s="4">
        <v>1841000</v>
      </c>
    </row>
    <row r="151" spans="2:8" ht="19" x14ac:dyDescent="0.25">
      <c r="B151" s="2">
        <v>45789</v>
      </c>
      <c r="C151" s="3">
        <v>169.86</v>
      </c>
      <c r="D151" s="3">
        <v>176.85</v>
      </c>
      <c r="E151" s="3">
        <v>168</v>
      </c>
      <c r="F151" s="3">
        <v>176.07</v>
      </c>
      <c r="G151" s="3">
        <v>175.09</v>
      </c>
      <c r="H151" s="4">
        <v>3596800</v>
      </c>
    </row>
    <row r="152" spans="2:8" ht="19" x14ac:dyDescent="0.25">
      <c r="B152" s="2">
        <v>45786</v>
      </c>
      <c r="C152" s="3">
        <v>159.75</v>
      </c>
      <c r="D152" s="3">
        <v>160.29</v>
      </c>
      <c r="E152" s="3">
        <v>157.34</v>
      </c>
      <c r="F152" s="3">
        <v>158.28</v>
      </c>
      <c r="G152" s="3">
        <v>157.4</v>
      </c>
      <c r="H152" s="4">
        <v>1058000</v>
      </c>
    </row>
    <row r="153" spans="2:8" ht="19" x14ac:dyDescent="0.25">
      <c r="B153" s="2">
        <v>45785</v>
      </c>
      <c r="C153" s="3">
        <v>156.1</v>
      </c>
      <c r="D153" s="3">
        <v>161.43</v>
      </c>
      <c r="E153" s="3">
        <v>155.54</v>
      </c>
      <c r="F153" s="3">
        <v>160.12</v>
      </c>
      <c r="G153" s="3">
        <v>159.22999999999999</v>
      </c>
      <c r="H153" s="4">
        <v>1733900</v>
      </c>
    </row>
    <row r="154" spans="2:8" ht="19" x14ac:dyDescent="0.25">
      <c r="B154" s="2">
        <v>45784</v>
      </c>
      <c r="C154" s="3">
        <v>153.96</v>
      </c>
      <c r="D154" s="3">
        <v>156.5</v>
      </c>
      <c r="E154" s="3">
        <v>153.96</v>
      </c>
      <c r="F154" s="3">
        <v>155.59</v>
      </c>
      <c r="G154" s="3">
        <v>154.72999999999999</v>
      </c>
      <c r="H154" s="4">
        <v>1173900</v>
      </c>
    </row>
    <row r="155" spans="2:8" ht="19" x14ac:dyDescent="0.25">
      <c r="B155" s="2">
        <v>45783</v>
      </c>
      <c r="C155" s="3">
        <v>154</v>
      </c>
      <c r="D155" s="3">
        <v>155.63999999999999</v>
      </c>
      <c r="E155" s="3">
        <v>152.52000000000001</v>
      </c>
      <c r="F155" s="3">
        <v>153.35</v>
      </c>
      <c r="G155" s="3">
        <v>152.5</v>
      </c>
      <c r="H155" s="4">
        <v>1012300</v>
      </c>
    </row>
    <row r="156" spans="2:8" ht="19" x14ac:dyDescent="0.25">
      <c r="B156" s="2">
        <v>45782</v>
      </c>
      <c r="C156" s="3">
        <v>156.88999999999999</v>
      </c>
      <c r="D156" s="3">
        <v>158.72999999999999</v>
      </c>
      <c r="E156" s="3">
        <v>156.06</v>
      </c>
      <c r="F156" s="3">
        <v>156.22999999999999</v>
      </c>
      <c r="G156" s="3">
        <v>155.36000000000001</v>
      </c>
      <c r="H156" s="4">
        <v>1272100</v>
      </c>
    </row>
    <row r="157" spans="2:8" ht="19" x14ac:dyDescent="0.25">
      <c r="B157" s="2">
        <v>45779</v>
      </c>
      <c r="C157" s="3">
        <v>153</v>
      </c>
      <c r="D157" s="3">
        <v>160.82</v>
      </c>
      <c r="E157" s="3">
        <v>152.25</v>
      </c>
      <c r="F157" s="3">
        <v>158.01</v>
      </c>
      <c r="G157" s="3">
        <v>157.13</v>
      </c>
      <c r="H157" s="4">
        <v>2628100</v>
      </c>
    </row>
    <row r="158" spans="2:8" ht="19" x14ac:dyDescent="0.25">
      <c r="B158" s="2">
        <v>45778</v>
      </c>
      <c r="C158" s="3">
        <v>152.86000000000001</v>
      </c>
      <c r="D158" s="3">
        <v>154.19</v>
      </c>
      <c r="E158" s="3">
        <v>149.61000000000001</v>
      </c>
      <c r="F158" s="3">
        <v>150.56</v>
      </c>
      <c r="G158" s="3">
        <v>149.72</v>
      </c>
      <c r="H158" s="4">
        <v>2153700</v>
      </c>
    </row>
    <row r="159" spans="2:8" ht="19" x14ac:dyDescent="0.25">
      <c r="B159" s="2">
        <v>45777</v>
      </c>
      <c r="C159" s="3">
        <v>149.15</v>
      </c>
      <c r="D159" s="3">
        <v>153.66</v>
      </c>
      <c r="E159" s="3">
        <v>146.37</v>
      </c>
      <c r="F159" s="3">
        <v>153.28</v>
      </c>
      <c r="G159" s="3">
        <v>152.43</v>
      </c>
      <c r="H159" s="4">
        <v>2958800</v>
      </c>
    </row>
    <row r="160" spans="2:8" ht="19" x14ac:dyDescent="0.25">
      <c r="B160" s="2">
        <v>45776</v>
      </c>
      <c r="C160" s="3">
        <v>147.96</v>
      </c>
      <c r="D160" s="3">
        <v>150.04</v>
      </c>
      <c r="E160" s="3">
        <v>146.57</v>
      </c>
      <c r="F160" s="3">
        <v>149.65</v>
      </c>
      <c r="G160" s="3">
        <v>148.82</v>
      </c>
      <c r="H160" s="4">
        <v>2026000</v>
      </c>
    </row>
    <row r="161" spans="2:8" ht="19" x14ac:dyDescent="0.25">
      <c r="B161" s="2">
        <v>45775</v>
      </c>
      <c r="C161" s="3">
        <v>147.01</v>
      </c>
      <c r="D161" s="3">
        <v>149.53</v>
      </c>
      <c r="E161" s="3">
        <v>145.79</v>
      </c>
      <c r="F161" s="3">
        <v>149</v>
      </c>
      <c r="G161" s="3">
        <v>148.16999999999999</v>
      </c>
      <c r="H161" s="4">
        <v>2699000</v>
      </c>
    </row>
    <row r="162" spans="2:8" ht="19" x14ac:dyDescent="0.25">
      <c r="B162" s="2">
        <v>45772</v>
      </c>
      <c r="C162" s="3">
        <v>149.28</v>
      </c>
      <c r="D162" s="3">
        <v>151.52000000000001</v>
      </c>
      <c r="E162" s="3">
        <v>144.9</v>
      </c>
      <c r="F162" s="3">
        <v>146.74</v>
      </c>
      <c r="G162" s="3">
        <v>145.91999999999999</v>
      </c>
      <c r="H162" s="4">
        <v>4094900</v>
      </c>
    </row>
    <row r="163" spans="2:8" ht="19" x14ac:dyDescent="0.25">
      <c r="B163" s="2">
        <v>45771</v>
      </c>
      <c r="C163" s="3">
        <v>151.66</v>
      </c>
      <c r="D163" s="3">
        <v>159.18</v>
      </c>
      <c r="E163" s="3">
        <v>150.9</v>
      </c>
      <c r="F163" s="3">
        <v>158.9</v>
      </c>
      <c r="G163" s="3">
        <v>158.02000000000001</v>
      </c>
      <c r="H163" s="4">
        <v>1834800</v>
      </c>
    </row>
    <row r="164" spans="2:8" ht="19" x14ac:dyDescent="0.25">
      <c r="B164" s="2">
        <v>45770</v>
      </c>
      <c r="C164" s="3">
        <v>159.12</v>
      </c>
      <c r="D164" s="3">
        <v>167.89</v>
      </c>
      <c r="E164" s="3">
        <v>151.6</v>
      </c>
      <c r="F164" s="3">
        <v>153.22999999999999</v>
      </c>
      <c r="G164" s="3">
        <v>152.38</v>
      </c>
      <c r="H164" s="4">
        <v>3069700</v>
      </c>
    </row>
    <row r="165" spans="2:8" ht="19" x14ac:dyDescent="0.25">
      <c r="B165" s="2">
        <v>45769</v>
      </c>
      <c r="C165" s="3">
        <v>150.28</v>
      </c>
      <c r="D165" s="3">
        <v>153.16999999999999</v>
      </c>
      <c r="E165" s="3">
        <v>148.63999999999999</v>
      </c>
      <c r="F165" s="3">
        <v>152.07</v>
      </c>
      <c r="G165" s="3">
        <v>151.22999999999999</v>
      </c>
      <c r="H165" s="4">
        <v>1840300</v>
      </c>
    </row>
    <row r="166" spans="2:8" ht="19" x14ac:dyDescent="0.25">
      <c r="B166" s="2">
        <v>45768</v>
      </c>
      <c r="C166" s="3">
        <v>151.47</v>
      </c>
      <c r="D166" s="3">
        <v>152.74</v>
      </c>
      <c r="E166" s="3">
        <v>147.05000000000001</v>
      </c>
      <c r="F166" s="3">
        <v>149.87</v>
      </c>
      <c r="G166" s="3">
        <v>149.04</v>
      </c>
      <c r="H166" s="4">
        <v>1791100</v>
      </c>
    </row>
    <row r="167" spans="2:8" ht="19" x14ac:dyDescent="0.25">
      <c r="B167" s="2">
        <v>45764</v>
      </c>
      <c r="C167" s="3">
        <v>149.38999999999999</v>
      </c>
      <c r="D167" s="3">
        <v>154.82</v>
      </c>
      <c r="E167" s="3">
        <v>149.05000000000001</v>
      </c>
      <c r="F167" s="3">
        <v>153.75</v>
      </c>
      <c r="G167" s="3">
        <v>152.9</v>
      </c>
      <c r="H167" s="4">
        <v>1456500</v>
      </c>
    </row>
    <row r="168" spans="2:8" ht="19" x14ac:dyDescent="0.25">
      <c r="B168" s="2">
        <v>45763</v>
      </c>
      <c r="C168" s="3">
        <v>151.07</v>
      </c>
      <c r="D168" s="3">
        <v>151.88999999999999</v>
      </c>
      <c r="E168" s="3">
        <v>145.9</v>
      </c>
      <c r="F168" s="3">
        <v>147.85</v>
      </c>
      <c r="G168" s="3">
        <v>147.03</v>
      </c>
      <c r="H168" s="4">
        <v>1928000</v>
      </c>
    </row>
    <row r="169" spans="2:8" ht="19" x14ac:dyDescent="0.25">
      <c r="B169" s="2">
        <v>45762</v>
      </c>
      <c r="C169" s="3">
        <v>155.30000000000001</v>
      </c>
      <c r="D169" s="3">
        <v>156.47999999999999</v>
      </c>
      <c r="E169" s="3">
        <v>151.47</v>
      </c>
      <c r="F169" s="3">
        <v>152.85</v>
      </c>
      <c r="G169" s="3">
        <v>152</v>
      </c>
      <c r="H169" s="4">
        <v>1001800</v>
      </c>
    </row>
    <row r="170" spans="2:8" ht="19" x14ac:dyDescent="0.25">
      <c r="B170" s="2">
        <v>45761</v>
      </c>
      <c r="C170" s="3">
        <v>154.28</v>
      </c>
      <c r="D170" s="3">
        <v>155.85</v>
      </c>
      <c r="E170" s="3">
        <v>151.94999999999999</v>
      </c>
      <c r="F170" s="3">
        <v>155.11000000000001</v>
      </c>
      <c r="G170" s="3">
        <v>154.25</v>
      </c>
      <c r="H170" s="4">
        <v>1189200</v>
      </c>
    </row>
    <row r="171" spans="2:8" ht="19" x14ac:dyDescent="0.25">
      <c r="B171" s="2">
        <v>45758</v>
      </c>
      <c r="C171" s="3">
        <v>154.82</v>
      </c>
      <c r="D171" s="3">
        <v>154.82</v>
      </c>
      <c r="E171" s="3">
        <v>146.13999999999999</v>
      </c>
      <c r="F171" s="3">
        <v>152.22999999999999</v>
      </c>
      <c r="G171" s="3">
        <v>151.38</v>
      </c>
      <c r="H171" s="4">
        <v>2640800</v>
      </c>
    </row>
    <row r="172" spans="2:8" ht="19" x14ac:dyDescent="0.25">
      <c r="B172" s="2">
        <v>45757</v>
      </c>
      <c r="C172" s="3">
        <v>161.96</v>
      </c>
      <c r="D172" s="3">
        <v>161.96</v>
      </c>
      <c r="E172" s="3">
        <v>152.22999999999999</v>
      </c>
      <c r="F172" s="3">
        <v>156.75</v>
      </c>
      <c r="G172" s="3">
        <v>155.88</v>
      </c>
      <c r="H172" s="4">
        <v>2180900</v>
      </c>
    </row>
    <row r="173" spans="2:8" ht="19" x14ac:dyDescent="0.25">
      <c r="B173" s="2">
        <v>45756</v>
      </c>
      <c r="C173" s="3">
        <v>146.84</v>
      </c>
      <c r="D173" s="3">
        <v>166.21</v>
      </c>
      <c r="E173" s="3">
        <v>145.79</v>
      </c>
      <c r="F173" s="3">
        <v>165.49</v>
      </c>
      <c r="G173" s="3">
        <v>164.57</v>
      </c>
      <c r="H173" s="4">
        <v>3158600</v>
      </c>
    </row>
    <row r="174" spans="2:8" ht="19" x14ac:dyDescent="0.25">
      <c r="B174" s="2">
        <v>45755</v>
      </c>
      <c r="C174" s="3">
        <v>157.41</v>
      </c>
      <c r="D174" s="3">
        <v>157.44999999999999</v>
      </c>
      <c r="E174" s="3">
        <v>146.32</v>
      </c>
      <c r="F174" s="3">
        <v>148.34</v>
      </c>
      <c r="G174" s="3">
        <v>147.52000000000001</v>
      </c>
      <c r="H174" s="4">
        <v>1877800</v>
      </c>
    </row>
    <row r="175" spans="2:8" ht="19" x14ac:dyDescent="0.25">
      <c r="B175" s="2">
        <v>45754</v>
      </c>
      <c r="C175" s="3">
        <v>152.27000000000001</v>
      </c>
      <c r="D175" s="3">
        <v>159.86000000000001</v>
      </c>
      <c r="E175" s="3">
        <v>145.96</v>
      </c>
      <c r="F175" s="3">
        <v>151.41</v>
      </c>
      <c r="G175" s="3">
        <v>150.57</v>
      </c>
      <c r="H175" s="4">
        <v>2779500</v>
      </c>
    </row>
    <row r="176" spans="2:8" ht="19" x14ac:dyDescent="0.25">
      <c r="B176" s="2">
        <v>45751</v>
      </c>
      <c r="C176" s="3">
        <v>153.16999999999999</v>
      </c>
      <c r="D176" s="3">
        <v>155.78</v>
      </c>
      <c r="E176" s="3">
        <v>147.06</v>
      </c>
      <c r="F176" s="3">
        <v>152.06</v>
      </c>
      <c r="G176" s="3">
        <v>151.22</v>
      </c>
      <c r="H176" s="4">
        <v>3326300</v>
      </c>
    </row>
    <row r="177" spans="2:8" ht="19" x14ac:dyDescent="0.25">
      <c r="B177" s="2">
        <v>45750</v>
      </c>
      <c r="C177" s="3">
        <v>162.53</v>
      </c>
      <c r="D177" s="3">
        <v>165.62</v>
      </c>
      <c r="E177" s="3">
        <v>153.02000000000001</v>
      </c>
      <c r="F177" s="3">
        <v>155.75</v>
      </c>
      <c r="G177" s="3">
        <v>154.88</v>
      </c>
      <c r="H177" s="4">
        <v>2683400</v>
      </c>
    </row>
    <row r="178" spans="2:8" ht="19" x14ac:dyDescent="0.25">
      <c r="B178" s="2">
        <v>45749</v>
      </c>
      <c r="C178" s="3">
        <v>164.66</v>
      </c>
      <c r="D178" s="3">
        <v>170.58</v>
      </c>
      <c r="E178" s="3">
        <v>164.47</v>
      </c>
      <c r="F178" s="3">
        <v>170.1</v>
      </c>
      <c r="G178" s="3">
        <v>169.16</v>
      </c>
      <c r="H178" s="4">
        <v>904900</v>
      </c>
    </row>
    <row r="179" spans="2:8" ht="19" x14ac:dyDescent="0.25">
      <c r="B179" s="2">
        <v>45748</v>
      </c>
      <c r="C179" s="3">
        <v>163.66999999999999</v>
      </c>
      <c r="D179" s="3">
        <v>168</v>
      </c>
      <c r="E179" s="3">
        <v>163.02000000000001</v>
      </c>
      <c r="F179" s="3">
        <v>167.09</v>
      </c>
      <c r="G179" s="3">
        <v>166.16</v>
      </c>
      <c r="H179" s="4">
        <v>1219200</v>
      </c>
    </row>
    <row r="180" spans="2:8" ht="19" x14ac:dyDescent="0.25">
      <c r="B180" s="2">
        <v>45747</v>
      </c>
      <c r="C180" s="3">
        <v>162.05000000000001</v>
      </c>
      <c r="D180" s="3">
        <v>166.62</v>
      </c>
      <c r="E180" s="3">
        <v>162.05000000000001</v>
      </c>
      <c r="F180" s="3">
        <v>165.45</v>
      </c>
      <c r="G180" s="3">
        <v>164.53</v>
      </c>
      <c r="H180" s="4">
        <v>1608300</v>
      </c>
    </row>
    <row r="181" spans="2:8" ht="19" x14ac:dyDescent="0.25">
      <c r="B181" s="2">
        <v>45744</v>
      </c>
      <c r="C181" s="3">
        <v>169.61</v>
      </c>
      <c r="D181" s="3">
        <v>169.93</v>
      </c>
      <c r="E181" s="3">
        <v>164.72</v>
      </c>
      <c r="F181" s="3">
        <v>164.85</v>
      </c>
      <c r="G181" s="3">
        <v>163.93</v>
      </c>
      <c r="H181" s="4">
        <v>1285800</v>
      </c>
    </row>
    <row r="182" spans="2:8" ht="19" x14ac:dyDescent="0.25">
      <c r="B182" s="2">
        <v>45743</v>
      </c>
      <c r="C182" s="3">
        <v>168.77</v>
      </c>
      <c r="D182" s="3">
        <v>171.54</v>
      </c>
      <c r="E182" s="3">
        <v>168.36</v>
      </c>
      <c r="F182" s="3">
        <v>170.23</v>
      </c>
      <c r="G182" s="3">
        <v>169.28</v>
      </c>
      <c r="H182" s="4">
        <v>1260200</v>
      </c>
    </row>
    <row r="183" spans="2:8" ht="19" x14ac:dyDescent="0.25">
      <c r="B183" s="2">
        <v>45742</v>
      </c>
      <c r="C183" s="3">
        <v>167.55</v>
      </c>
      <c r="D183" s="3">
        <v>169.48</v>
      </c>
      <c r="E183" s="3">
        <v>166.92</v>
      </c>
      <c r="F183" s="3">
        <v>168.67</v>
      </c>
      <c r="G183" s="3">
        <v>167.73</v>
      </c>
      <c r="H183" s="4">
        <v>1423100</v>
      </c>
    </row>
    <row r="184" spans="2:8" ht="19" x14ac:dyDescent="0.25">
      <c r="B184" s="2">
        <v>45741</v>
      </c>
      <c r="C184" s="3">
        <v>170.12</v>
      </c>
      <c r="D184" s="3">
        <v>170.72</v>
      </c>
      <c r="E184" s="3">
        <v>167.09</v>
      </c>
      <c r="F184" s="3">
        <v>167.6</v>
      </c>
      <c r="G184" s="3">
        <v>166.67</v>
      </c>
      <c r="H184" s="4">
        <v>1478600</v>
      </c>
    </row>
    <row r="185" spans="2:8" ht="19" x14ac:dyDescent="0.25">
      <c r="B185" s="2">
        <v>45740</v>
      </c>
      <c r="C185" s="3">
        <v>167.61</v>
      </c>
      <c r="D185" s="3">
        <v>170.66</v>
      </c>
      <c r="E185" s="3">
        <v>167.48</v>
      </c>
      <c r="F185" s="3">
        <v>170.05</v>
      </c>
      <c r="G185" s="3">
        <v>169.11</v>
      </c>
      <c r="H185" s="4">
        <v>1302600</v>
      </c>
    </row>
    <row r="186" spans="2:8" ht="19" x14ac:dyDescent="0.25">
      <c r="B186" s="2">
        <v>45737</v>
      </c>
      <c r="C186" s="3">
        <v>158.31</v>
      </c>
      <c r="D186" s="3">
        <v>165.37</v>
      </c>
      <c r="E186" s="3">
        <v>157.66999999999999</v>
      </c>
      <c r="F186" s="3">
        <v>165.22</v>
      </c>
      <c r="G186" s="3">
        <v>164.3</v>
      </c>
      <c r="H186" s="4">
        <v>3630700</v>
      </c>
    </row>
    <row r="187" spans="2:8" ht="19" x14ac:dyDescent="0.25">
      <c r="B187" s="2">
        <v>45736</v>
      </c>
      <c r="C187" s="3">
        <v>160.91</v>
      </c>
      <c r="D187" s="3">
        <v>163.41</v>
      </c>
      <c r="E187" s="3">
        <v>160.37</v>
      </c>
      <c r="F187" s="3">
        <v>161.13</v>
      </c>
      <c r="G187" s="3">
        <v>160.24</v>
      </c>
      <c r="H187" s="4">
        <v>1585700</v>
      </c>
    </row>
    <row r="188" spans="2:8" ht="19" x14ac:dyDescent="0.25">
      <c r="B188" s="2">
        <v>45735</v>
      </c>
      <c r="C188" s="3">
        <v>162.09</v>
      </c>
      <c r="D188" s="3">
        <v>163.41999999999999</v>
      </c>
      <c r="E188" s="3">
        <v>159.5</v>
      </c>
      <c r="F188" s="3">
        <v>162.44</v>
      </c>
      <c r="G188" s="3">
        <v>161.54</v>
      </c>
      <c r="H188" s="4">
        <v>1646500</v>
      </c>
    </row>
    <row r="189" spans="2:8" ht="19" x14ac:dyDescent="0.25">
      <c r="B189" s="2">
        <v>45734</v>
      </c>
      <c r="C189" s="3">
        <v>165.34</v>
      </c>
      <c r="D189" s="3">
        <v>166.37</v>
      </c>
      <c r="E189" s="3">
        <v>160.49</v>
      </c>
      <c r="F189" s="3">
        <v>162.08000000000001</v>
      </c>
      <c r="G189" s="3">
        <v>161.18</v>
      </c>
      <c r="H189" s="4">
        <v>1148200</v>
      </c>
    </row>
    <row r="190" spans="2:8" ht="19" x14ac:dyDescent="0.25">
      <c r="B190" s="2">
        <v>45733</v>
      </c>
      <c r="C190" s="3">
        <v>161.01</v>
      </c>
      <c r="D190" s="3">
        <v>167.09</v>
      </c>
      <c r="E190" s="3">
        <v>159.11000000000001</v>
      </c>
      <c r="F190" s="3">
        <v>166.12</v>
      </c>
      <c r="G190" s="3">
        <v>165.2</v>
      </c>
      <c r="H190" s="4">
        <v>1602600</v>
      </c>
    </row>
    <row r="191" spans="2:8" ht="19" x14ac:dyDescent="0.25">
      <c r="B191" s="2">
        <v>45730</v>
      </c>
      <c r="C191" s="3">
        <v>163.95</v>
      </c>
      <c r="D191" s="3">
        <v>164.46</v>
      </c>
      <c r="E191" s="3">
        <v>161.76</v>
      </c>
      <c r="F191" s="3">
        <v>162.5</v>
      </c>
      <c r="G191" s="3">
        <v>161.6</v>
      </c>
      <c r="H191" s="4">
        <v>1412300</v>
      </c>
    </row>
    <row r="192" spans="2:8" ht="19" x14ac:dyDescent="0.25">
      <c r="B192" s="2">
        <v>45729</v>
      </c>
      <c r="C192" s="3">
        <v>165.77</v>
      </c>
      <c r="D192" s="3">
        <v>167.05</v>
      </c>
      <c r="E192" s="3">
        <v>159.35</v>
      </c>
      <c r="F192" s="3">
        <v>162.97999999999999</v>
      </c>
      <c r="G192" s="3">
        <v>162.07</v>
      </c>
      <c r="H192" s="4">
        <v>2044300</v>
      </c>
    </row>
    <row r="193" spans="2:8" ht="19" x14ac:dyDescent="0.25">
      <c r="B193" s="2">
        <v>45728</v>
      </c>
      <c r="C193" s="3">
        <v>169.05</v>
      </c>
      <c r="D193" s="3">
        <v>169.84</v>
      </c>
      <c r="E193" s="3">
        <v>164.06</v>
      </c>
      <c r="F193" s="3">
        <v>164.54</v>
      </c>
      <c r="G193" s="3">
        <v>163.63</v>
      </c>
      <c r="H193" s="4">
        <v>2344400</v>
      </c>
    </row>
    <row r="194" spans="2:8" ht="19" x14ac:dyDescent="0.25">
      <c r="B194" s="2">
        <v>45727</v>
      </c>
      <c r="C194" s="3">
        <v>177.45</v>
      </c>
      <c r="D194" s="3">
        <v>177.76</v>
      </c>
      <c r="E194" s="3">
        <v>166.42</v>
      </c>
      <c r="F194" s="3">
        <v>167.03</v>
      </c>
      <c r="G194" s="3">
        <v>166.1</v>
      </c>
      <c r="H194" s="4">
        <v>2507300</v>
      </c>
    </row>
    <row r="195" spans="2:8" ht="19" x14ac:dyDescent="0.25">
      <c r="B195" s="2">
        <v>45726</v>
      </c>
      <c r="C195" s="3">
        <v>178.48</v>
      </c>
      <c r="D195" s="3">
        <v>181.76</v>
      </c>
      <c r="E195" s="3">
        <v>177.24</v>
      </c>
      <c r="F195" s="3">
        <v>177.97</v>
      </c>
      <c r="G195" s="3">
        <v>176.98</v>
      </c>
      <c r="H195" s="4">
        <v>2021800</v>
      </c>
    </row>
    <row r="196" spans="2:8" ht="19" x14ac:dyDescent="0.25">
      <c r="B196" s="2">
        <v>45723</v>
      </c>
      <c r="C196" s="3">
        <v>177.58</v>
      </c>
      <c r="D196" s="3">
        <v>181.47</v>
      </c>
      <c r="E196" s="3">
        <v>176.64</v>
      </c>
      <c r="F196" s="3">
        <v>179.55</v>
      </c>
      <c r="G196" s="3">
        <v>178.55</v>
      </c>
      <c r="H196" s="4">
        <v>2667000</v>
      </c>
    </row>
    <row r="197" spans="2:8" ht="19" x14ac:dyDescent="0.25">
      <c r="B197" s="2">
        <v>45722</v>
      </c>
      <c r="C197" s="3">
        <v>175.94</v>
      </c>
      <c r="D197" s="3">
        <v>178.71</v>
      </c>
      <c r="E197" s="3">
        <v>173.55</v>
      </c>
      <c r="F197" s="3">
        <v>177.58</v>
      </c>
      <c r="G197" s="3">
        <v>176.59</v>
      </c>
      <c r="H197" s="4">
        <v>2027100</v>
      </c>
    </row>
    <row r="198" spans="2:8" ht="19" x14ac:dyDescent="0.25">
      <c r="B198" s="2">
        <v>45721</v>
      </c>
      <c r="C198" s="3">
        <v>175.42</v>
      </c>
      <c r="D198" s="3">
        <v>176.86</v>
      </c>
      <c r="E198" s="3">
        <v>171.7</v>
      </c>
      <c r="F198" s="3">
        <v>176.52</v>
      </c>
      <c r="G198" s="3">
        <v>175.54</v>
      </c>
      <c r="H198" s="4">
        <v>2217500</v>
      </c>
    </row>
    <row r="199" spans="2:8" ht="19" x14ac:dyDescent="0.25">
      <c r="B199" s="2">
        <v>45720</v>
      </c>
      <c r="C199" s="3">
        <v>170.64</v>
      </c>
      <c r="D199" s="3">
        <v>177.3</v>
      </c>
      <c r="E199" s="3">
        <v>165.82</v>
      </c>
      <c r="F199" s="3">
        <v>175</v>
      </c>
      <c r="G199" s="3">
        <v>173.75</v>
      </c>
      <c r="H199" s="4">
        <v>3026000</v>
      </c>
    </row>
    <row r="200" spans="2:8" ht="19" x14ac:dyDescent="0.25">
      <c r="B200" s="2">
        <v>45719</v>
      </c>
      <c r="C200" s="3">
        <v>178.18</v>
      </c>
      <c r="D200" s="3">
        <v>178.77</v>
      </c>
      <c r="E200" s="3">
        <v>171.44</v>
      </c>
      <c r="F200" s="3">
        <v>172.28</v>
      </c>
      <c r="G200" s="3">
        <v>171.05</v>
      </c>
      <c r="H200" s="4">
        <v>2410400</v>
      </c>
    </row>
    <row r="201" spans="2:8" ht="19" x14ac:dyDescent="0.25">
      <c r="B201" s="2">
        <v>45716</v>
      </c>
      <c r="C201" s="3">
        <v>175.9</v>
      </c>
      <c r="D201" s="3">
        <v>179.12</v>
      </c>
      <c r="E201" s="3">
        <v>175.19</v>
      </c>
      <c r="F201" s="3">
        <v>176.5</v>
      </c>
      <c r="G201" s="3">
        <v>175.24</v>
      </c>
      <c r="H201" s="4">
        <v>2123300</v>
      </c>
    </row>
    <row r="202" spans="2:8" ht="19" x14ac:dyDescent="0.25">
      <c r="B202" s="2">
        <v>45715</v>
      </c>
      <c r="C202" s="3">
        <v>175.91</v>
      </c>
      <c r="D202" s="3">
        <v>178.19</v>
      </c>
      <c r="E202" s="3">
        <v>174.07</v>
      </c>
      <c r="F202" s="3">
        <v>174.77</v>
      </c>
      <c r="G202" s="3">
        <v>173.52</v>
      </c>
      <c r="H202" s="4">
        <v>1494600</v>
      </c>
    </row>
    <row r="203" spans="2:8" ht="19" x14ac:dyDescent="0.25">
      <c r="B203" s="2">
        <v>45714</v>
      </c>
      <c r="C203" s="3">
        <v>179.4</v>
      </c>
      <c r="D203" s="3">
        <v>181.28</v>
      </c>
      <c r="E203" s="3">
        <v>175.52</v>
      </c>
      <c r="F203" s="3">
        <v>175.69</v>
      </c>
      <c r="G203" s="3">
        <v>174.43</v>
      </c>
      <c r="H203" s="4">
        <v>2414600</v>
      </c>
    </row>
    <row r="204" spans="2:8" ht="19" x14ac:dyDescent="0.25">
      <c r="B204" s="2">
        <v>45713</v>
      </c>
      <c r="C204" s="3">
        <v>180.71</v>
      </c>
      <c r="D204" s="3">
        <v>182.73</v>
      </c>
      <c r="E204" s="3">
        <v>178.05</v>
      </c>
      <c r="F204" s="3">
        <v>179.88</v>
      </c>
      <c r="G204" s="3">
        <v>178.59</v>
      </c>
      <c r="H204" s="4">
        <v>2099400</v>
      </c>
    </row>
    <row r="205" spans="2:8" ht="19" x14ac:dyDescent="0.25">
      <c r="B205" s="2">
        <v>45712</v>
      </c>
      <c r="C205" s="3">
        <v>184.84</v>
      </c>
      <c r="D205" s="3">
        <v>185.41</v>
      </c>
      <c r="E205" s="3">
        <v>181.48</v>
      </c>
      <c r="F205" s="3">
        <v>181.97</v>
      </c>
      <c r="G205" s="3">
        <v>180.67</v>
      </c>
      <c r="H205" s="4">
        <v>2225600</v>
      </c>
    </row>
    <row r="206" spans="2:8" ht="19" x14ac:dyDescent="0.25">
      <c r="B206" s="2">
        <v>45709</v>
      </c>
      <c r="C206" s="3">
        <v>197.23</v>
      </c>
      <c r="D206" s="3">
        <v>197.23</v>
      </c>
      <c r="E206" s="3">
        <v>170</v>
      </c>
      <c r="F206" s="3">
        <v>180.4</v>
      </c>
      <c r="G206" s="3">
        <v>179.11</v>
      </c>
      <c r="H206" s="4">
        <v>5679600</v>
      </c>
    </row>
    <row r="207" spans="2:8" ht="19" x14ac:dyDescent="0.25">
      <c r="B207" s="2">
        <v>45708</v>
      </c>
      <c r="C207" s="3">
        <v>204.16</v>
      </c>
      <c r="D207" s="3">
        <v>204.86</v>
      </c>
      <c r="E207" s="3">
        <v>196.23</v>
      </c>
      <c r="F207" s="3">
        <v>197.25</v>
      </c>
      <c r="G207" s="3">
        <v>195.84</v>
      </c>
      <c r="H207" s="4">
        <v>1366400</v>
      </c>
    </row>
    <row r="208" spans="2:8" ht="19" x14ac:dyDescent="0.25">
      <c r="B208" s="2">
        <v>45707</v>
      </c>
      <c r="C208" s="3">
        <v>207.33</v>
      </c>
      <c r="D208" s="3">
        <v>208.51</v>
      </c>
      <c r="E208" s="3">
        <v>204.93</v>
      </c>
      <c r="F208" s="3">
        <v>205.11</v>
      </c>
      <c r="G208" s="3">
        <v>203.64</v>
      </c>
      <c r="H208" s="4">
        <v>1284900</v>
      </c>
    </row>
    <row r="209" spans="2:8" ht="19" x14ac:dyDescent="0.25">
      <c r="B209" s="2">
        <v>45706</v>
      </c>
      <c r="C209" s="3">
        <v>207.57</v>
      </c>
      <c r="D209" s="3">
        <v>209.61</v>
      </c>
      <c r="E209" s="3">
        <v>206.36</v>
      </c>
      <c r="F209" s="3">
        <v>209.29</v>
      </c>
      <c r="G209" s="3">
        <v>207.79</v>
      </c>
      <c r="H209" s="4">
        <v>1865700</v>
      </c>
    </row>
    <row r="210" spans="2:8" ht="19" x14ac:dyDescent="0.25">
      <c r="B210" s="2">
        <v>45702</v>
      </c>
      <c r="C210" s="3">
        <v>207</v>
      </c>
      <c r="D210" s="3">
        <v>209.49</v>
      </c>
      <c r="E210" s="3">
        <v>206.01</v>
      </c>
      <c r="F210" s="3">
        <v>206.34</v>
      </c>
      <c r="G210" s="3">
        <v>204.87</v>
      </c>
      <c r="H210" s="4">
        <v>1274100</v>
      </c>
    </row>
    <row r="211" spans="2:8" ht="19" x14ac:dyDescent="0.25">
      <c r="B211" s="2">
        <v>45701</v>
      </c>
      <c r="C211" s="3">
        <v>204</v>
      </c>
      <c r="D211" s="3">
        <v>206.68</v>
      </c>
      <c r="E211" s="3">
        <v>202.59</v>
      </c>
      <c r="F211" s="3">
        <v>206.39</v>
      </c>
      <c r="G211" s="3">
        <v>204.92</v>
      </c>
      <c r="H211" s="4">
        <v>1287500</v>
      </c>
    </row>
    <row r="212" spans="2:8" ht="19" x14ac:dyDescent="0.25">
      <c r="B212" s="2">
        <v>45700</v>
      </c>
      <c r="C212" s="3">
        <v>201.33</v>
      </c>
      <c r="D212" s="3">
        <v>203.98</v>
      </c>
      <c r="E212" s="3">
        <v>198.68</v>
      </c>
      <c r="F212" s="3">
        <v>203.02</v>
      </c>
      <c r="G212" s="3">
        <v>201.57</v>
      </c>
      <c r="H212" s="4">
        <v>1444800</v>
      </c>
    </row>
    <row r="213" spans="2:8" ht="19" x14ac:dyDescent="0.25">
      <c r="B213" s="2">
        <v>45699</v>
      </c>
      <c r="C213" s="3">
        <v>200.04</v>
      </c>
      <c r="D213" s="3">
        <v>206.49</v>
      </c>
      <c r="E213" s="3">
        <v>199.98</v>
      </c>
      <c r="F213" s="3">
        <v>205.77</v>
      </c>
      <c r="G213" s="3">
        <v>204.3</v>
      </c>
      <c r="H213" s="4">
        <v>1956900</v>
      </c>
    </row>
    <row r="214" spans="2:8" ht="19" x14ac:dyDescent="0.25">
      <c r="B214" s="2">
        <v>45698</v>
      </c>
      <c r="C214" s="3">
        <v>199.28</v>
      </c>
      <c r="D214" s="3">
        <v>201.98</v>
      </c>
      <c r="E214" s="3">
        <v>198</v>
      </c>
      <c r="F214" s="3">
        <v>201.78</v>
      </c>
      <c r="G214" s="3">
        <v>200.34</v>
      </c>
      <c r="H214" s="4">
        <v>1984600</v>
      </c>
    </row>
    <row r="215" spans="2:8" ht="19" x14ac:dyDescent="0.25">
      <c r="B215" s="2">
        <v>45695</v>
      </c>
      <c r="C215" s="3">
        <v>196.45</v>
      </c>
      <c r="D215" s="3">
        <v>198.03</v>
      </c>
      <c r="E215" s="3">
        <v>193.62</v>
      </c>
      <c r="F215" s="3">
        <v>197.2</v>
      </c>
      <c r="G215" s="3">
        <v>195.79</v>
      </c>
      <c r="H215" s="4">
        <v>1871000</v>
      </c>
    </row>
    <row r="216" spans="2:8" ht="19" x14ac:dyDescent="0.25">
      <c r="B216" s="2">
        <v>45694</v>
      </c>
      <c r="C216" s="3">
        <v>194.36</v>
      </c>
      <c r="D216" s="3">
        <v>201.09</v>
      </c>
      <c r="E216" s="3">
        <v>193.78</v>
      </c>
      <c r="F216" s="3">
        <v>195.88</v>
      </c>
      <c r="G216" s="3">
        <v>194.48</v>
      </c>
      <c r="H216" s="4">
        <v>1851500</v>
      </c>
    </row>
    <row r="217" spans="2:8" ht="19" x14ac:dyDescent="0.25">
      <c r="B217" s="2">
        <v>45693</v>
      </c>
      <c r="C217" s="3">
        <v>195.87</v>
      </c>
      <c r="D217" s="3">
        <v>199.29</v>
      </c>
      <c r="E217" s="3">
        <v>192.65</v>
      </c>
      <c r="F217" s="3">
        <v>193.65</v>
      </c>
      <c r="G217" s="3">
        <v>192.27</v>
      </c>
      <c r="H217" s="4">
        <v>2772300</v>
      </c>
    </row>
    <row r="218" spans="2:8" ht="19" x14ac:dyDescent="0.25">
      <c r="B218" s="2">
        <v>45692</v>
      </c>
      <c r="C218" s="3">
        <v>181.1</v>
      </c>
      <c r="D218" s="3">
        <v>183.92</v>
      </c>
      <c r="E218" s="3">
        <v>181.06</v>
      </c>
      <c r="F218" s="3">
        <v>183.66</v>
      </c>
      <c r="G218" s="3">
        <v>182.35</v>
      </c>
      <c r="H218" s="4">
        <v>1996200</v>
      </c>
    </row>
    <row r="219" spans="2:8" ht="19" x14ac:dyDescent="0.25">
      <c r="B219" s="2">
        <v>45691</v>
      </c>
      <c r="C219" s="3">
        <v>188.13</v>
      </c>
      <c r="D219" s="3">
        <v>189.01</v>
      </c>
      <c r="E219" s="3">
        <v>181.98</v>
      </c>
      <c r="F219" s="3">
        <v>182.05</v>
      </c>
      <c r="G219" s="3">
        <v>180.75</v>
      </c>
      <c r="H219" s="4">
        <v>2165800</v>
      </c>
    </row>
    <row r="220" spans="2:8" ht="19" x14ac:dyDescent="0.25">
      <c r="B220" s="2">
        <v>45688</v>
      </c>
      <c r="C220" s="3">
        <v>186.78</v>
      </c>
      <c r="D220" s="3">
        <v>188.93</v>
      </c>
      <c r="E220" s="3">
        <v>184.37</v>
      </c>
      <c r="F220" s="3">
        <v>185.61</v>
      </c>
      <c r="G220" s="3">
        <v>184.28</v>
      </c>
      <c r="H220" s="4">
        <v>1556600</v>
      </c>
    </row>
    <row r="221" spans="2:8" ht="19" x14ac:dyDescent="0.25">
      <c r="B221" s="2">
        <v>45687</v>
      </c>
      <c r="C221" s="3">
        <v>184.54</v>
      </c>
      <c r="D221" s="3">
        <v>187.23</v>
      </c>
      <c r="E221" s="3">
        <v>183.19</v>
      </c>
      <c r="F221" s="3">
        <v>186.78</v>
      </c>
      <c r="G221" s="3">
        <v>185.45</v>
      </c>
      <c r="H221" s="4">
        <v>1587900</v>
      </c>
    </row>
    <row r="222" spans="2:8" ht="19" x14ac:dyDescent="0.25">
      <c r="B222" s="2">
        <v>45686</v>
      </c>
      <c r="C222" s="3">
        <v>190.01</v>
      </c>
      <c r="D222" s="3">
        <v>190.69</v>
      </c>
      <c r="E222" s="3">
        <v>185.58</v>
      </c>
      <c r="F222" s="3">
        <v>185.84</v>
      </c>
      <c r="G222" s="3">
        <v>184.51</v>
      </c>
      <c r="H222" s="4">
        <v>1556200</v>
      </c>
    </row>
    <row r="223" spans="2:8" ht="19" x14ac:dyDescent="0.25">
      <c r="B223" s="2">
        <v>45685</v>
      </c>
      <c r="C223" s="3">
        <v>194.24</v>
      </c>
      <c r="D223" s="3">
        <v>194.38</v>
      </c>
      <c r="E223" s="3">
        <v>189.67</v>
      </c>
      <c r="F223" s="3">
        <v>189.99</v>
      </c>
      <c r="G223" s="3">
        <v>188.63</v>
      </c>
      <c r="H223" s="4">
        <v>1522700</v>
      </c>
    </row>
    <row r="224" spans="2:8" ht="19" x14ac:dyDescent="0.25">
      <c r="B224" s="2">
        <v>45684</v>
      </c>
      <c r="C224" s="3">
        <v>189.42</v>
      </c>
      <c r="D224" s="3">
        <v>195.73</v>
      </c>
      <c r="E224" s="3">
        <v>189.42</v>
      </c>
      <c r="F224" s="3">
        <v>194.71</v>
      </c>
      <c r="G224" s="3">
        <v>193.32</v>
      </c>
      <c r="H224" s="4">
        <v>1852500</v>
      </c>
    </row>
    <row r="225" spans="2:8" ht="19" x14ac:dyDescent="0.25">
      <c r="B225" s="2">
        <v>45681</v>
      </c>
      <c r="C225" s="3">
        <v>190.02</v>
      </c>
      <c r="D225" s="3">
        <v>192.05</v>
      </c>
      <c r="E225" s="3">
        <v>189.81</v>
      </c>
      <c r="F225" s="3">
        <v>190.81</v>
      </c>
      <c r="G225" s="3">
        <v>189.45</v>
      </c>
      <c r="H225" s="4">
        <v>870200</v>
      </c>
    </row>
    <row r="226" spans="2:8" ht="19" x14ac:dyDescent="0.25">
      <c r="B226" s="2">
        <v>45680</v>
      </c>
      <c r="C226" s="3">
        <v>192.03</v>
      </c>
      <c r="D226" s="3">
        <v>192.6</v>
      </c>
      <c r="E226" s="3">
        <v>190.2</v>
      </c>
      <c r="F226" s="3">
        <v>191.54</v>
      </c>
      <c r="G226" s="3">
        <v>190.17</v>
      </c>
      <c r="H226" s="4">
        <v>1178000</v>
      </c>
    </row>
    <row r="227" spans="2:8" ht="19" x14ac:dyDescent="0.25">
      <c r="B227" s="2">
        <v>45679</v>
      </c>
      <c r="C227" s="3">
        <v>190.2</v>
      </c>
      <c r="D227" s="3">
        <v>191.4</v>
      </c>
      <c r="E227" s="3">
        <v>188.64</v>
      </c>
      <c r="F227" s="3">
        <v>188.79</v>
      </c>
      <c r="G227" s="3">
        <v>187.44</v>
      </c>
      <c r="H227" s="4">
        <v>1410200</v>
      </c>
    </row>
    <row r="228" spans="2:8" ht="19" x14ac:dyDescent="0.25">
      <c r="B228" s="2">
        <v>45678</v>
      </c>
      <c r="C228" s="3">
        <v>191.52</v>
      </c>
      <c r="D228" s="3">
        <v>191.65</v>
      </c>
      <c r="E228" s="3">
        <v>188.88</v>
      </c>
      <c r="F228" s="3">
        <v>190.43</v>
      </c>
      <c r="G228" s="3">
        <v>189.07</v>
      </c>
      <c r="H228" s="4">
        <v>1440200</v>
      </c>
    </row>
    <row r="229" spans="2:8" ht="19" x14ac:dyDescent="0.25">
      <c r="B229" s="2">
        <v>45674</v>
      </c>
      <c r="C229" s="3">
        <v>191.26</v>
      </c>
      <c r="D229" s="3">
        <v>191.26</v>
      </c>
      <c r="E229" s="3">
        <v>186.46</v>
      </c>
      <c r="F229" s="3">
        <v>189.55</v>
      </c>
      <c r="G229" s="3">
        <v>188.2</v>
      </c>
      <c r="H229" s="4">
        <v>1307500</v>
      </c>
    </row>
    <row r="230" spans="2:8" ht="19" x14ac:dyDescent="0.25">
      <c r="B230" s="2">
        <v>45673</v>
      </c>
      <c r="C230" s="3">
        <v>186.7</v>
      </c>
      <c r="D230" s="3">
        <v>190.55</v>
      </c>
      <c r="E230" s="3">
        <v>185.35</v>
      </c>
      <c r="F230" s="3">
        <v>189.92</v>
      </c>
      <c r="G230" s="3">
        <v>188.56</v>
      </c>
      <c r="H230" s="4">
        <v>1083400</v>
      </c>
    </row>
    <row r="231" spans="2:8" ht="19" x14ac:dyDescent="0.25">
      <c r="B231" s="2">
        <v>45672</v>
      </c>
      <c r="C231" s="3">
        <v>187.99</v>
      </c>
      <c r="D231" s="3">
        <v>189.9</v>
      </c>
      <c r="E231" s="3">
        <v>186.04</v>
      </c>
      <c r="F231" s="3">
        <v>186.86</v>
      </c>
      <c r="G231" s="3">
        <v>185.52</v>
      </c>
      <c r="H231" s="4">
        <v>1956900</v>
      </c>
    </row>
    <row r="232" spans="2:8" ht="19" x14ac:dyDescent="0.25">
      <c r="B232" s="2">
        <v>45671</v>
      </c>
      <c r="C232" s="3">
        <v>181.57</v>
      </c>
      <c r="D232" s="3">
        <v>183.86</v>
      </c>
      <c r="E232" s="3">
        <v>181.07</v>
      </c>
      <c r="F232" s="3">
        <v>183.62</v>
      </c>
      <c r="G232" s="3">
        <v>182.31</v>
      </c>
      <c r="H232" s="4">
        <v>1175100</v>
      </c>
    </row>
    <row r="233" spans="2:8" ht="19" x14ac:dyDescent="0.25">
      <c r="B233" s="2">
        <v>45670</v>
      </c>
      <c r="C233" s="3">
        <v>175.34</v>
      </c>
      <c r="D233" s="3">
        <v>180.83</v>
      </c>
      <c r="E233" s="3">
        <v>175.34</v>
      </c>
      <c r="F233" s="3">
        <v>180.67</v>
      </c>
      <c r="G233" s="3">
        <v>179.38</v>
      </c>
      <c r="H233" s="4">
        <v>1229700</v>
      </c>
    </row>
    <row r="234" spans="2:8" ht="19" x14ac:dyDescent="0.25">
      <c r="B234" s="2">
        <v>45667</v>
      </c>
      <c r="C234" s="3">
        <v>176.89</v>
      </c>
      <c r="D234" s="3">
        <v>177.9</v>
      </c>
      <c r="E234" s="3">
        <v>175.27</v>
      </c>
      <c r="F234" s="3">
        <v>176.41</v>
      </c>
      <c r="G234" s="3">
        <v>175.15</v>
      </c>
      <c r="H234" s="4">
        <v>1045700</v>
      </c>
    </row>
    <row r="235" spans="2:8" ht="19" x14ac:dyDescent="0.25">
      <c r="B235" s="2">
        <v>45665</v>
      </c>
      <c r="C235" s="3">
        <v>179.25</v>
      </c>
      <c r="D235" s="3">
        <v>181.83</v>
      </c>
      <c r="E235" s="3">
        <v>178.87</v>
      </c>
      <c r="F235" s="3">
        <v>179.58</v>
      </c>
      <c r="G235" s="3">
        <v>178.3</v>
      </c>
      <c r="H235" s="4">
        <v>1483600</v>
      </c>
    </row>
    <row r="236" spans="2:8" ht="19" x14ac:dyDescent="0.25">
      <c r="B236" s="2">
        <v>45664</v>
      </c>
      <c r="C236" s="3">
        <v>182.34</v>
      </c>
      <c r="D236" s="3">
        <v>182.34</v>
      </c>
      <c r="E236" s="3">
        <v>178.56</v>
      </c>
      <c r="F236" s="3">
        <v>180.64</v>
      </c>
      <c r="G236" s="3">
        <v>179.35</v>
      </c>
      <c r="H236" s="4">
        <v>1498500</v>
      </c>
    </row>
    <row r="237" spans="2:8" ht="19" x14ac:dyDescent="0.25">
      <c r="B237" s="2">
        <v>45663</v>
      </c>
      <c r="C237" s="3">
        <v>181.39</v>
      </c>
      <c r="D237" s="3">
        <v>184.38</v>
      </c>
      <c r="E237" s="3">
        <v>181.11</v>
      </c>
      <c r="F237" s="3">
        <v>182.67</v>
      </c>
      <c r="G237" s="3">
        <v>181.36</v>
      </c>
      <c r="H237" s="4">
        <v>1149800</v>
      </c>
    </row>
    <row r="238" spans="2:8" ht="19" x14ac:dyDescent="0.25">
      <c r="B238" s="2">
        <v>45660</v>
      </c>
      <c r="C238" s="3">
        <v>177.38</v>
      </c>
      <c r="D238" s="3">
        <v>181.31</v>
      </c>
      <c r="E238" s="3">
        <v>176.59</v>
      </c>
      <c r="F238" s="3">
        <v>180.91</v>
      </c>
      <c r="G238" s="3">
        <v>179.62</v>
      </c>
      <c r="H238" s="4">
        <v>1090600</v>
      </c>
    </row>
    <row r="239" spans="2:8" ht="19" x14ac:dyDescent="0.25">
      <c r="B239" s="2">
        <v>45659</v>
      </c>
      <c r="C239" s="3">
        <v>178.93</v>
      </c>
      <c r="D239" s="3">
        <v>180.41</v>
      </c>
      <c r="E239" s="3">
        <v>174.85</v>
      </c>
      <c r="F239" s="3">
        <v>175.73</v>
      </c>
      <c r="G239" s="3">
        <v>174.47</v>
      </c>
      <c r="H239" s="4">
        <v>903300</v>
      </c>
    </row>
    <row r="240" spans="2:8" ht="19" x14ac:dyDescent="0.25">
      <c r="B240" s="2">
        <v>45657</v>
      </c>
      <c r="C240" s="3">
        <v>178.16</v>
      </c>
      <c r="D240" s="3">
        <v>179.48</v>
      </c>
      <c r="E240" s="3">
        <v>176.34</v>
      </c>
      <c r="F240" s="3">
        <v>176.4</v>
      </c>
      <c r="G240" s="3">
        <v>175.14</v>
      </c>
      <c r="H240" s="4">
        <v>845700</v>
      </c>
    </row>
    <row r="241" spans="2:8" ht="19" x14ac:dyDescent="0.25">
      <c r="B241" s="2">
        <v>45656</v>
      </c>
      <c r="C241" s="3">
        <v>179.3</v>
      </c>
      <c r="D241" s="3">
        <v>179.43</v>
      </c>
      <c r="E241" s="3">
        <v>174.8</v>
      </c>
      <c r="F241" s="3">
        <v>177.28</v>
      </c>
      <c r="G241" s="3">
        <v>176.01</v>
      </c>
      <c r="H241" s="4">
        <v>1404800</v>
      </c>
    </row>
    <row r="242" spans="2:8" ht="19" x14ac:dyDescent="0.25">
      <c r="B242" s="2">
        <v>45653</v>
      </c>
      <c r="C242" s="3">
        <v>178.96</v>
      </c>
      <c r="D242" s="3">
        <v>182.4</v>
      </c>
      <c r="E242" s="3">
        <v>177.84</v>
      </c>
      <c r="F242" s="3">
        <v>180.23</v>
      </c>
      <c r="G242" s="3">
        <v>178.94</v>
      </c>
      <c r="H242" s="4">
        <v>1080500</v>
      </c>
    </row>
    <row r="243" spans="2:8" ht="19" x14ac:dyDescent="0.25">
      <c r="B243" s="2">
        <v>45652</v>
      </c>
      <c r="C243" s="3">
        <v>180.1</v>
      </c>
      <c r="D243" s="3">
        <v>182.83</v>
      </c>
      <c r="E243" s="3">
        <v>179.43</v>
      </c>
      <c r="F243" s="3">
        <v>181.44</v>
      </c>
      <c r="G243" s="3">
        <v>180.14</v>
      </c>
      <c r="H243" s="4">
        <v>756700</v>
      </c>
    </row>
    <row r="244" spans="2:8" ht="19" x14ac:dyDescent="0.25">
      <c r="B244" s="2">
        <v>45650</v>
      </c>
      <c r="C244" s="3">
        <v>179.71</v>
      </c>
      <c r="D244" s="3">
        <v>182.07</v>
      </c>
      <c r="E244" s="3">
        <v>179</v>
      </c>
      <c r="F244" s="3">
        <v>181.57</v>
      </c>
      <c r="G244" s="3">
        <v>180.27</v>
      </c>
      <c r="H244" s="4">
        <v>576000</v>
      </c>
    </row>
    <row r="245" spans="2:8" ht="19" x14ac:dyDescent="0.25">
      <c r="B245" s="2">
        <v>45649</v>
      </c>
      <c r="C245" s="3">
        <v>180.82</v>
      </c>
      <c r="D245" s="3">
        <v>182</v>
      </c>
      <c r="E245" s="3">
        <v>179.35</v>
      </c>
      <c r="F245" s="3">
        <v>180.16</v>
      </c>
      <c r="G245" s="3">
        <v>178.87</v>
      </c>
      <c r="H245" s="4">
        <v>1597100</v>
      </c>
    </row>
    <row r="246" spans="2:8" ht="19" x14ac:dyDescent="0.25">
      <c r="B246" s="2">
        <v>45646</v>
      </c>
      <c r="C246" s="3">
        <v>186.84</v>
      </c>
      <c r="D246" s="3">
        <v>186.84</v>
      </c>
      <c r="E246" s="3">
        <v>176.03</v>
      </c>
      <c r="F246" s="3">
        <v>181.37</v>
      </c>
      <c r="G246" s="3">
        <v>180.07</v>
      </c>
      <c r="H246" s="4">
        <v>5024100</v>
      </c>
    </row>
    <row r="247" spans="2:8" ht="19" x14ac:dyDescent="0.25">
      <c r="B247" s="2">
        <v>45645</v>
      </c>
      <c r="C247" s="3">
        <v>193.2</v>
      </c>
      <c r="D247" s="3">
        <v>194.33</v>
      </c>
      <c r="E247" s="3">
        <v>187.64</v>
      </c>
      <c r="F247" s="3">
        <v>187.74</v>
      </c>
      <c r="G247" s="3">
        <v>186.4</v>
      </c>
      <c r="H247" s="4">
        <v>1679000</v>
      </c>
    </row>
    <row r="248" spans="2:8" ht="19" x14ac:dyDescent="0.25">
      <c r="B248" s="2">
        <v>45644</v>
      </c>
      <c r="C248" s="3">
        <v>197.77</v>
      </c>
      <c r="D248" s="3">
        <v>199.9</v>
      </c>
      <c r="E248" s="3">
        <v>191.42</v>
      </c>
      <c r="F248" s="3">
        <v>191.77</v>
      </c>
      <c r="G248" s="3">
        <v>190.4</v>
      </c>
      <c r="H248" s="4">
        <v>1166500</v>
      </c>
    </row>
    <row r="249" spans="2:8" ht="19" x14ac:dyDescent="0.25">
      <c r="B249" s="2">
        <v>45643</v>
      </c>
      <c r="C249" s="3">
        <v>197.7</v>
      </c>
      <c r="D249" s="3">
        <v>199.84</v>
      </c>
      <c r="E249" s="3">
        <v>196.84</v>
      </c>
      <c r="F249" s="3">
        <v>198.98</v>
      </c>
      <c r="G249" s="3">
        <v>197.56</v>
      </c>
      <c r="H249" s="4">
        <v>1632300</v>
      </c>
    </row>
    <row r="250" spans="2:8" ht="19" x14ac:dyDescent="0.25">
      <c r="B250" s="2">
        <v>45642</v>
      </c>
      <c r="C250" s="3">
        <v>200.08</v>
      </c>
      <c r="D250" s="3">
        <v>200.38</v>
      </c>
      <c r="E250" s="3">
        <v>197.39</v>
      </c>
      <c r="F250" s="3">
        <v>198.89</v>
      </c>
      <c r="G250" s="3">
        <v>197.47</v>
      </c>
      <c r="H250" s="4">
        <v>1852200</v>
      </c>
    </row>
    <row r="251" spans="2:8" ht="19" x14ac:dyDescent="0.25">
      <c r="B251" s="2">
        <v>45639</v>
      </c>
      <c r="C251" s="3">
        <v>202.29</v>
      </c>
      <c r="D251" s="3">
        <v>203.48</v>
      </c>
      <c r="E251" s="3">
        <v>200.58</v>
      </c>
      <c r="F251" s="3">
        <v>200.69</v>
      </c>
      <c r="G251" s="3">
        <v>199.26</v>
      </c>
      <c r="H251" s="4">
        <v>849100</v>
      </c>
    </row>
    <row r="252" spans="2:8" ht="19" x14ac:dyDescent="0.25">
      <c r="B252" s="2">
        <v>45638</v>
      </c>
      <c r="C252" s="3">
        <v>204.45</v>
      </c>
      <c r="D252" s="3">
        <v>204.58</v>
      </c>
      <c r="E252" s="3">
        <v>200.23</v>
      </c>
      <c r="F252" s="3">
        <v>203.04</v>
      </c>
      <c r="G252" s="3">
        <v>201.59</v>
      </c>
      <c r="H252" s="4">
        <v>1083400</v>
      </c>
    </row>
    <row r="253" spans="2:8" ht="19" x14ac:dyDescent="0.25">
      <c r="B253" s="2">
        <v>45637</v>
      </c>
      <c r="C253" s="3">
        <v>205.62</v>
      </c>
      <c r="D253" s="3">
        <v>206.34</v>
      </c>
      <c r="E253" s="3">
        <v>203.36</v>
      </c>
      <c r="F253" s="3">
        <v>204.81</v>
      </c>
      <c r="G253" s="3">
        <v>203.35</v>
      </c>
      <c r="H253" s="4">
        <v>1874900</v>
      </c>
    </row>
    <row r="254" spans="2:8" ht="19" x14ac:dyDescent="0.25">
      <c r="B254" s="2">
        <v>45636</v>
      </c>
      <c r="C254" s="3">
        <v>204.16</v>
      </c>
      <c r="D254" s="3">
        <v>206.86</v>
      </c>
      <c r="E254" s="3">
        <v>200.48</v>
      </c>
      <c r="F254" s="3">
        <v>205.09</v>
      </c>
      <c r="G254" s="3">
        <v>203.62</v>
      </c>
      <c r="H254" s="4">
        <v>1454300</v>
      </c>
    </row>
    <row r="255" spans="2:8" ht="19" x14ac:dyDescent="0.25">
      <c r="B255" s="2">
        <v>45635</v>
      </c>
      <c r="C255" s="3">
        <v>203.1</v>
      </c>
      <c r="D255" s="3">
        <v>205.1</v>
      </c>
      <c r="E255" s="3">
        <v>202.85</v>
      </c>
      <c r="F255" s="3">
        <v>203.93</v>
      </c>
      <c r="G255" s="3">
        <v>202.47</v>
      </c>
      <c r="H255" s="4">
        <v>1305900</v>
      </c>
    </row>
    <row r="256" spans="2:8" ht="19" x14ac:dyDescent="0.25">
      <c r="B256" s="2">
        <v>45632</v>
      </c>
      <c r="C256" s="3">
        <v>204.77</v>
      </c>
      <c r="D256" s="3">
        <v>206.62</v>
      </c>
      <c r="E256" s="3">
        <v>202.88</v>
      </c>
      <c r="F256" s="3">
        <v>203</v>
      </c>
      <c r="G256" s="3">
        <v>201.55</v>
      </c>
      <c r="H256" s="4">
        <v>1313100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FB8C-C5BA-7E43-90A4-C09966A94AF8}">
  <dimension ref="B5:H258"/>
  <sheetViews>
    <sheetView workbookViewId="0">
      <selection activeCell="F9" sqref="F9:F258"/>
    </sheetView>
  </sheetViews>
  <sheetFormatPr baseColWidth="10" defaultRowHeight="16" x14ac:dyDescent="0.2"/>
  <cols>
    <col min="2" max="2" width="12.6640625" bestFit="1" customWidth="1"/>
    <col min="3" max="7" width="11" bestFit="1" customWidth="1"/>
    <col min="8" max="8" width="11.83203125" bestFit="1" customWidth="1"/>
  </cols>
  <sheetData>
    <row r="5" spans="2:8" x14ac:dyDescent="0.2">
      <c r="B5" s="1" t="s">
        <v>25</v>
      </c>
    </row>
    <row r="6" spans="2:8" x14ac:dyDescent="0.2">
      <c r="B6" s="1"/>
    </row>
    <row r="8" spans="2:8" x14ac:dyDescent="0.2">
      <c r="B8" s="1" t="s">
        <v>32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31</v>
      </c>
    </row>
    <row r="9" spans="2:8" ht="19" x14ac:dyDescent="0.25">
      <c r="B9" s="2">
        <v>45996</v>
      </c>
      <c r="C9" s="3">
        <v>179.98</v>
      </c>
      <c r="D9" s="3">
        <v>182</v>
      </c>
      <c r="E9" s="3">
        <v>178.41</v>
      </c>
      <c r="F9" s="3">
        <v>181.71</v>
      </c>
      <c r="G9" s="3">
        <v>181.71</v>
      </c>
      <c r="H9" s="4">
        <v>813900</v>
      </c>
    </row>
    <row r="10" spans="2:8" ht="19" x14ac:dyDescent="0.25">
      <c r="B10" s="2">
        <v>45995</v>
      </c>
      <c r="C10" s="3">
        <v>176.72</v>
      </c>
      <c r="D10" s="3">
        <v>181.25</v>
      </c>
      <c r="E10" s="3">
        <v>175.67</v>
      </c>
      <c r="F10" s="3">
        <v>180.34</v>
      </c>
      <c r="G10" s="3">
        <v>180.34</v>
      </c>
      <c r="H10" s="4">
        <v>1082400</v>
      </c>
    </row>
    <row r="11" spans="2:8" ht="19" x14ac:dyDescent="0.25">
      <c r="B11" s="2">
        <v>45994</v>
      </c>
      <c r="C11" s="3">
        <v>172.69</v>
      </c>
      <c r="D11" s="3">
        <v>176.85</v>
      </c>
      <c r="E11" s="3">
        <v>171.91</v>
      </c>
      <c r="F11" s="3">
        <v>176.13</v>
      </c>
      <c r="G11" s="3">
        <v>176.13</v>
      </c>
      <c r="H11" s="4">
        <v>979500</v>
      </c>
    </row>
    <row r="12" spans="2:8" ht="19" x14ac:dyDescent="0.25">
      <c r="B12" s="2">
        <v>45993</v>
      </c>
      <c r="C12" s="3">
        <v>173.14</v>
      </c>
      <c r="D12" s="3">
        <v>173.87</v>
      </c>
      <c r="E12" s="3">
        <v>171.86</v>
      </c>
      <c r="F12" s="3">
        <v>172.68</v>
      </c>
      <c r="G12" s="3">
        <v>172.68</v>
      </c>
      <c r="H12" s="4">
        <v>959900</v>
      </c>
    </row>
    <row r="13" spans="2:8" ht="19" x14ac:dyDescent="0.25">
      <c r="B13" s="2">
        <v>45992</v>
      </c>
      <c r="C13" s="3">
        <v>173.53</v>
      </c>
      <c r="D13" s="3">
        <v>175.9</v>
      </c>
      <c r="E13" s="3">
        <v>172.99</v>
      </c>
      <c r="F13" s="3">
        <v>174.2</v>
      </c>
      <c r="G13" s="3">
        <v>173.62</v>
      </c>
      <c r="H13" s="4">
        <v>773600</v>
      </c>
    </row>
    <row r="14" spans="2:8" ht="19" x14ac:dyDescent="0.25">
      <c r="B14" s="2">
        <v>45989</v>
      </c>
      <c r="C14" s="3">
        <v>174.42</v>
      </c>
      <c r="D14" s="3">
        <v>175</v>
      </c>
      <c r="E14" s="3">
        <v>173.85</v>
      </c>
      <c r="F14" s="3">
        <v>174.48</v>
      </c>
      <c r="G14" s="3">
        <v>173.9</v>
      </c>
      <c r="H14" s="4">
        <v>404200</v>
      </c>
    </row>
    <row r="15" spans="2:8" ht="19" x14ac:dyDescent="0.25">
      <c r="B15" s="2">
        <v>45987</v>
      </c>
      <c r="C15" s="3">
        <v>173.63</v>
      </c>
      <c r="D15" s="3">
        <v>174.55</v>
      </c>
      <c r="E15" s="3">
        <v>173.09</v>
      </c>
      <c r="F15" s="3">
        <v>173.92</v>
      </c>
      <c r="G15" s="3">
        <v>173.34</v>
      </c>
      <c r="H15" s="4">
        <v>540300</v>
      </c>
    </row>
    <row r="16" spans="2:8" ht="19" x14ac:dyDescent="0.25">
      <c r="B16" s="2">
        <v>45986</v>
      </c>
      <c r="C16" s="3">
        <v>171.31</v>
      </c>
      <c r="D16" s="3">
        <v>173.84</v>
      </c>
      <c r="E16" s="3">
        <v>171.19</v>
      </c>
      <c r="F16" s="3">
        <v>173.62</v>
      </c>
      <c r="G16" s="3">
        <v>173.04</v>
      </c>
      <c r="H16" s="4">
        <v>578000</v>
      </c>
    </row>
    <row r="17" spans="2:8" ht="19" x14ac:dyDescent="0.25">
      <c r="B17" s="2">
        <v>45985</v>
      </c>
      <c r="C17" s="3">
        <v>170.72</v>
      </c>
      <c r="D17" s="3">
        <v>171.45</v>
      </c>
      <c r="E17" s="3">
        <v>169.42</v>
      </c>
      <c r="F17" s="3">
        <v>170.58</v>
      </c>
      <c r="G17" s="3">
        <v>170.01</v>
      </c>
      <c r="H17" s="4">
        <v>1001300</v>
      </c>
    </row>
    <row r="18" spans="2:8" ht="19" x14ac:dyDescent="0.25">
      <c r="B18" s="2">
        <v>45982</v>
      </c>
      <c r="C18" s="3">
        <v>167.69</v>
      </c>
      <c r="D18" s="3">
        <v>172.68</v>
      </c>
      <c r="E18" s="3">
        <v>167.66</v>
      </c>
      <c r="F18" s="3">
        <v>170.8</v>
      </c>
      <c r="G18" s="3">
        <v>170.23</v>
      </c>
      <c r="H18" s="4">
        <v>758400</v>
      </c>
    </row>
    <row r="19" spans="2:8" ht="19" x14ac:dyDescent="0.25">
      <c r="B19" s="2">
        <v>45981</v>
      </c>
      <c r="C19" s="3">
        <v>167.82</v>
      </c>
      <c r="D19" s="3">
        <v>171.94</v>
      </c>
      <c r="E19" s="3">
        <v>167.26</v>
      </c>
      <c r="F19" s="3">
        <v>167.77</v>
      </c>
      <c r="G19" s="3">
        <v>167.21</v>
      </c>
      <c r="H19" s="4">
        <v>1031800</v>
      </c>
    </row>
    <row r="20" spans="2:8" ht="19" x14ac:dyDescent="0.25">
      <c r="B20" s="2">
        <v>45980</v>
      </c>
      <c r="C20" s="3">
        <v>164.62</v>
      </c>
      <c r="D20" s="3">
        <v>166.4</v>
      </c>
      <c r="E20" s="3">
        <v>163.41</v>
      </c>
      <c r="F20" s="3">
        <v>165.8</v>
      </c>
      <c r="G20" s="3">
        <v>165.25</v>
      </c>
      <c r="H20" s="4">
        <v>913200</v>
      </c>
    </row>
    <row r="21" spans="2:8" ht="19" x14ac:dyDescent="0.25">
      <c r="B21" s="2">
        <v>45979</v>
      </c>
      <c r="C21" s="3">
        <v>163.15</v>
      </c>
      <c r="D21" s="3">
        <v>164.78</v>
      </c>
      <c r="E21" s="3">
        <v>162.4</v>
      </c>
      <c r="F21" s="3">
        <v>163.94</v>
      </c>
      <c r="G21" s="3">
        <v>163.38999999999999</v>
      </c>
      <c r="H21" s="4">
        <v>937900</v>
      </c>
    </row>
    <row r="22" spans="2:8" ht="19" x14ac:dyDescent="0.25">
      <c r="B22" s="2">
        <v>45978</v>
      </c>
      <c r="C22" s="3">
        <v>164.04</v>
      </c>
      <c r="D22" s="3">
        <v>164.8</v>
      </c>
      <c r="E22" s="3">
        <v>162.84</v>
      </c>
      <c r="F22" s="3">
        <v>163.63999999999999</v>
      </c>
      <c r="G22" s="3">
        <v>163.1</v>
      </c>
      <c r="H22" s="4">
        <v>626100</v>
      </c>
    </row>
    <row r="23" spans="2:8" ht="19" x14ac:dyDescent="0.25">
      <c r="B23" s="2">
        <v>45975</v>
      </c>
      <c r="C23" s="3">
        <v>165.41</v>
      </c>
      <c r="D23" s="3">
        <v>165.78</v>
      </c>
      <c r="E23" s="3">
        <v>162.94</v>
      </c>
      <c r="F23" s="3">
        <v>164.02</v>
      </c>
      <c r="G23" s="3">
        <v>163.47</v>
      </c>
      <c r="H23" s="4">
        <v>752300</v>
      </c>
    </row>
    <row r="24" spans="2:8" ht="19" x14ac:dyDescent="0.25">
      <c r="B24" s="2">
        <v>45974</v>
      </c>
      <c r="C24" s="3">
        <v>166.42</v>
      </c>
      <c r="D24" s="3">
        <v>168.43</v>
      </c>
      <c r="E24" s="3">
        <v>165.03</v>
      </c>
      <c r="F24" s="3">
        <v>165.27</v>
      </c>
      <c r="G24" s="3">
        <v>164.72</v>
      </c>
      <c r="H24" s="4">
        <v>814400</v>
      </c>
    </row>
    <row r="25" spans="2:8" ht="19" x14ac:dyDescent="0.25">
      <c r="B25" s="2">
        <v>45973</v>
      </c>
      <c r="C25" s="3">
        <v>166</v>
      </c>
      <c r="D25" s="3">
        <v>167.48</v>
      </c>
      <c r="E25" s="3">
        <v>164.44</v>
      </c>
      <c r="F25" s="3">
        <v>167.17</v>
      </c>
      <c r="G25" s="3">
        <v>166.61</v>
      </c>
      <c r="H25" s="4">
        <v>896400</v>
      </c>
    </row>
    <row r="26" spans="2:8" ht="19" x14ac:dyDescent="0.25">
      <c r="B26" s="2">
        <v>45972</v>
      </c>
      <c r="C26" s="3">
        <v>162.5</v>
      </c>
      <c r="D26" s="3">
        <v>165.89</v>
      </c>
      <c r="E26" s="3">
        <v>162.5</v>
      </c>
      <c r="F26" s="3">
        <v>165.73</v>
      </c>
      <c r="G26" s="3">
        <v>165.18</v>
      </c>
      <c r="H26" s="4">
        <v>759500</v>
      </c>
    </row>
    <row r="27" spans="2:8" ht="19" x14ac:dyDescent="0.25">
      <c r="B27" s="2">
        <v>45971</v>
      </c>
      <c r="C27" s="3">
        <v>160.74</v>
      </c>
      <c r="D27" s="3">
        <v>162.97</v>
      </c>
      <c r="E27" s="3">
        <v>159.78</v>
      </c>
      <c r="F27" s="3">
        <v>162.61000000000001</v>
      </c>
      <c r="G27" s="3">
        <v>162.07</v>
      </c>
      <c r="H27" s="4">
        <v>850700</v>
      </c>
    </row>
    <row r="28" spans="2:8" ht="19" x14ac:dyDescent="0.25">
      <c r="B28" s="2">
        <v>45968</v>
      </c>
      <c r="C28" s="3">
        <v>162.79</v>
      </c>
      <c r="D28" s="3">
        <v>163.76</v>
      </c>
      <c r="E28" s="3">
        <v>159.81</v>
      </c>
      <c r="F28" s="3">
        <v>160.80000000000001</v>
      </c>
      <c r="G28" s="3">
        <v>160.26</v>
      </c>
      <c r="H28" s="4">
        <v>1045500</v>
      </c>
    </row>
    <row r="29" spans="2:8" ht="19" x14ac:dyDescent="0.25">
      <c r="B29" s="2">
        <v>45967</v>
      </c>
      <c r="C29" s="3">
        <v>162.37</v>
      </c>
      <c r="D29" s="3">
        <v>164.83</v>
      </c>
      <c r="E29" s="3">
        <v>161.03</v>
      </c>
      <c r="F29" s="3">
        <v>163.08000000000001</v>
      </c>
      <c r="G29" s="3">
        <v>162.54</v>
      </c>
      <c r="H29" s="4">
        <v>1330800</v>
      </c>
    </row>
    <row r="30" spans="2:8" ht="19" x14ac:dyDescent="0.25">
      <c r="B30" s="2">
        <v>45966</v>
      </c>
      <c r="C30" s="3">
        <v>156.71</v>
      </c>
      <c r="D30" s="3">
        <v>160.49</v>
      </c>
      <c r="E30" s="3">
        <v>153.66999999999999</v>
      </c>
      <c r="F30" s="3">
        <v>159.83000000000001</v>
      </c>
      <c r="G30" s="3">
        <v>159.30000000000001</v>
      </c>
      <c r="H30" s="4">
        <v>1595700</v>
      </c>
    </row>
    <row r="31" spans="2:8" ht="19" x14ac:dyDescent="0.25">
      <c r="B31" s="2">
        <v>45965</v>
      </c>
      <c r="C31" s="3">
        <v>151.56</v>
      </c>
      <c r="D31" s="3">
        <v>152.83000000000001</v>
      </c>
      <c r="E31" s="3">
        <v>150.29</v>
      </c>
      <c r="F31" s="3">
        <v>152.41999999999999</v>
      </c>
      <c r="G31" s="3">
        <v>151.91</v>
      </c>
      <c r="H31" s="4">
        <v>1175000</v>
      </c>
    </row>
    <row r="32" spans="2:8" ht="19" x14ac:dyDescent="0.25">
      <c r="B32" s="2">
        <v>45964</v>
      </c>
      <c r="C32" s="3">
        <v>148.19999999999999</v>
      </c>
      <c r="D32" s="3">
        <v>151.1</v>
      </c>
      <c r="E32" s="3">
        <v>146.49</v>
      </c>
      <c r="F32" s="3">
        <v>150.63</v>
      </c>
      <c r="G32" s="3">
        <v>150.13</v>
      </c>
      <c r="H32" s="4">
        <v>1158600</v>
      </c>
    </row>
    <row r="33" spans="2:8" ht="19" x14ac:dyDescent="0.25">
      <c r="B33" s="2">
        <v>45961</v>
      </c>
      <c r="C33" s="3">
        <v>148.88999999999999</v>
      </c>
      <c r="D33" s="3">
        <v>151.01</v>
      </c>
      <c r="E33" s="3">
        <v>148.59</v>
      </c>
      <c r="F33" s="3">
        <v>148.94</v>
      </c>
      <c r="G33" s="3">
        <v>148.44</v>
      </c>
      <c r="H33" s="4">
        <v>1303300</v>
      </c>
    </row>
    <row r="34" spans="2:8" ht="19" x14ac:dyDescent="0.25">
      <c r="B34" s="2">
        <v>45960</v>
      </c>
      <c r="C34" s="3">
        <v>149.88999999999999</v>
      </c>
      <c r="D34" s="3">
        <v>151.96</v>
      </c>
      <c r="E34" s="3">
        <v>149.54</v>
      </c>
      <c r="F34" s="3">
        <v>149.88</v>
      </c>
      <c r="G34" s="3">
        <v>149.38</v>
      </c>
      <c r="H34" s="4">
        <v>952000</v>
      </c>
    </row>
    <row r="35" spans="2:8" ht="19" x14ac:dyDescent="0.25">
      <c r="B35" s="2">
        <v>45959</v>
      </c>
      <c r="C35" s="3">
        <v>153.31</v>
      </c>
      <c r="D35" s="3">
        <v>154.4</v>
      </c>
      <c r="E35" s="3">
        <v>147.02000000000001</v>
      </c>
      <c r="F35" s="3">
        <v>149.88999999999999</v>
      </c>
      <c r="G35" s="3">
        <v>149.38999999999999</v>
      </c>
      <c r="H35" s="4">
        <v>1833000</v>
      </c>
    </row>
    <row r="36" spans="2:8" ht="19" x14ac:dyDescent="0.25">
      <c r="B36" s="2">
        <v>45958</v>
      </c>
      <c r="C36" s="3">
        <v>156.11000000000001</v>
      </c>
      <c r="D36" s="3">
        <v>156.38999999999999</v>
      </c>
      <c r="E36" s="3">
        <v>154.15</v>
      </c>
      <c r="F36" s="3">
        <v>154.30000000000001</v>
      </c>
      <c r="G36" s="3">
        <v>153.79</v>
      </c>
      <c r="H36" s="4">
        <v>762400</v>
      </c>
    </row>
    <row r="37" spans="2:8" ht="19" x14ac:dyDescent="0.25">
      <c r="B37" s="2">
        <v>45957</v>
      </c>
      <c r="C37" s="3">
        <v>155.25</v>
      </c>
      <c r="D37" s="3">
        <v>156.85</v>
      </c>
      <c r="E37" s="3">
        <v>153.91</v>
      </c>
      <c r="F37" s="3">
        <v>156.30000000000001</v>
      </c>
      <c r="G37" s="3">
        <v>155.78</v>
      </c>
      <c r="H37" s="4">
        <v>776900</v>
      </c>
    </row>
    <row r="38" spans="2:8" ht="19" x14ac:dyDescent="0.25">
      <c r="B38" s="2">
        <v>45954</v>
      </c>
      <c r="C38" s="3">
        <v>156.78</v>
      </c>
      <c r="D38" s="3">
        <v>156.83000000000001</v>
      </c>
      <c r="E38" s="3">
        <v>154.93</v>
      </c>
      <c r="F38" s="3">
        <v>155.83000000000001</v>
      </c>
      <c r="G38" s="3">
        <v>155.31</v>
      </c>
      <c r="H38" s="4">
        <v>601000</v>
      </c>
    </row>
    <row r="39" spans="2:8" ht="19" x14ac:dyDescent="0.25">
      <c r="B39" s="2">
        <v>45953</v>
      </c>
      <c r="C39" s="3">
        <v>156.85</v>
      </c>
      <c r="D39" s="3">
        <v>157.12</v>
      </c>
      <c r="E39" s="3">
        <v>155.07</v>
      </c>
      <c r="F39" s="3">
        <v>155.72</v>
      </c>
      <c r="G39" s="3">
        <v>155.19999999999999</v>
      </c>
      <c r="H39" s="4">
        <v>829300</v>
      </c>
    </row>
    <row r="40" spans="2:8" ht="19" x14ac:dyDescent="0.25">
      <c r="B40" s="2">
        <v>45952</v>
      </c>
      <c r="C40" s="3">
        <v>156.38</v>
      </c>
      <c r="D40" s="3">
        <v>158.99</v>
      </c>
      <c r="E40" s="3">
        <v>155.88</v>
      </c>
      <c r="F40" s="3">
        <v>157</v>
      </c>
      <c r="G40" s="3">
        <v>156.47999999999999</v>
      </c>
      <c r="H40" s="4">
        <v>1019700</v>
      </c>
    </row>
    <row r="41" spans="2:8" ht="19" x14ac:dyDescent="0.25">
      <c r="B41" s="2">
        <v>45951</v>
      </c>
      <c r="C41" s="3">
        <v>154.13999999999999</v>
      </c>
      <c r="D41" s="3">
        <v>157.75</v>
      </c>
      <c r="E41" s="3">
        <v>154.13999999999999</v>
      </c>
      <c r="F41" s="3">
        <v>156.91999999999999</v>
      </c>
      <c r="G41" s="3">
        <v>156.4</v>
      </c>
      <c r="H41" s="4">
        <v>775300</v>
      </c>
    </row>
    <row r="42" spans="2:8" ht="19" x14ac:dyDescent="0.25">
      <c r="B42" s="2">
        <v>45950</v>
      </c>
      <c r="C42" s="3">
        <v>153.88999999999999</v>
      </c>
      <c r="D42" s="3">
        <v>155.34</v>
      </c>
      <c r="E42" s="3">
        <v>152.54</v>
      </c>
      <c r="F42" s="3">
        <v>155.07</v>
      </c>
      <c r="G42" s="3">
        <v>154.55000000000001</v>
      </c>
      <c r="H42" s="4">
        <v>592900</v>
      </c>
    </row>
    <row r="43" spans="2:8" ht="19" x14ac:dyDescent="0.25">
      <c r="B43" s="2">
        <v>45947</v>
      </c>
      <c r="C43" s="3">
        <v>153.44</v>
      </c>
      <c r="D43" s="3">
        <v>154.02000000000001</v>
      </c>
      <c r="E43" s="3">
        <v>151.82</v>
      </c>
      <c r="F43" s="3">
        <v>152.93</v>
      </c>
      <c r="G43" s="3">
        <v>152.41999999999999</v>
      </c>
      <c r="H43" s="4">
        <v>1239600</v>
      </c>
    </row>
    <row r="44" spans="2:8" ht="19" x14ac:dyDescent="0.25">
      <c r="B44" s="2">
        <v>45946</v>
      </c>
      <c r="C44" s="3">
        <v>154.18</v>
      </c>
      <c r="D44" s="3">
        <v>155.96</v>
      </c>
      <c r="E44" s="3">
        <v>152.85</v>
      </c>
      <c r="F44" s="3">
        <v>152.94</v>
      </c>
      <c r="G44" s="3">
        <v>152.43</v>
      </c>
      <c r="H44" s="4">
        <v>1412000</v>
      </c>
    </row>
    <row r="45" spans="2:8" ht="19" x14ac:dyDescent="0.25">
      <c r="B45" s="2">
        <v>45945</v>
      </c>
      <c r="C45" s="3">
        <v>153.9</v>
      </c>
      <c r="D45" s="3">
        <v>155.41999999999999</v>
      </c>
      <c r="E45" s="3">
        <v>153.38999999999999</v>
      </c>
      <c r="F45" s="3">
        <v>154.46</v>
      </c>
      <c r="G45" s="3">
        <v>153.94999999999999</v>
      </c>
      <c r="H45" s="4">
        <v>1044600</v>
      </c>
    </row>
    <row r="46" spans="2:8" ht="19" x14ac:dyDescent="0.25">
      <c r="B46" s="2">
        <v>45944</v>
      </c>
      <c r="C46" s="3">
        <v>151.99</v>
      </c>
      <c r="D46" s="3">
        <v>155.08000000000001</v>
      </c>
      <c r="E46" s="3">
        <v>151.54</v>
      </c>
      <c r="F46" s="3">
        <v>154.12</v>
      </c>
      <c r="G46" s="3">
        <v>153.61000000000001</v>
      </c>
      <c r="H46" s="4">
        <v>1055600</v>
      </c>
    </row>
    <row r="47" spans="2:8" ht="19" x14ac:dyDescent="0.25">
      <c r="B47" s="2">
        <v>45943</v>
      </c>
      <c r="C47" s="3">
        <v>151.38999999999999</v>
      </c>
      <c r="D47" s="3">
        <v>153.07</v>
      </c>
      <c r="E47" s="3">
        <v>150.09</v>
      </c>
      <c r="F47" s="3">
        <v>152.19</v>
      </c>
      <c r="G47" s="3">
        <v>151.68</v>
      </c>
      <c r="H47" s="4">
        <v>1188100</v>
      </c>
    </row>
    <row r="48" spans="2:8" ht="19" x14ac:dyDescent="0.25">
      <c r="B48" s="2">
        <v>45940</v>
      </c>
      <c r="C48" s="3">
        <v>149.87</v>
      </c>
      <c r="D48" s="3">
        <v>152.4</v>
      </c>
      <c r="E48" s="3">
        <v>149.43</v>
      </c>
      <c r="F48" s="3">
        <v>151.54</v>
      </c>
      <c r="G48" s="3">
        <v>151.04</v>
      </c>
      <c r="H48" s="4">
        <v>1721400</v>
      </c>
    </row>
    <row r="49" spans="2:8" ht="19" x14ac:dyDescent="0.25">
      <c r="B49" s="2">
        <v>45939</v>
      </c>
      <c r="C49" s="3">
        <v>149.69999999999999</v>
      </c>
      <c r="D49" s="3">
        <v>149.69999999999999</v>
      </c>
      <c r="E49" s="3">
        <v>147.97999999999999</v>
      </c>
      <c r="F49" s="3">
        <v>149.32</v>
      </c>
      <c r="G49" s="3">
        <v>148.82</v>
      </c>
      <c r="H49" s="4">
        <v>718000</v>
      </c>
    </row>
    <row r="50" spans="2:8" ht="19" x14ac:dyDescent="0.25">
      <c r="B50" s="2">
        <v>45938</v>
      </c>
      <c r="C50" s="3">
        <v>149.55000000000001</v>
      </c>
      <c r="D50" s="3">
        <v>150.84</v>
      </c>
      <c r="E50" s="3">
        <v>148.22</v>
      </c>
      <c r="F50" s="3">
        <v>149.43</v>
      </c>
      <c r="G50" s="3">
        <v>148.93</v>
      </c>
      <c r="H50" s="4">
        <v>1005600</v>
      </c>
    </row>
    <row r="51" spans="2:8" ht="19" x14ac:dyDescent="0.25">
      <c r="B51" s="2">
        <v>45937</v>
      </c>
      <c r="C51" s="3">
        <v>147.69</v>
      </c>
      <c r="D51" s="3">
        <v>149.74</v>
      </c>
      <c r="E51" s="3">
        <v>147.69</v>
      </c>
      <c r="F51" s="3">
        <v>149.63999999999999</v>
      </c>
      <c r="G51" s="3">
        <v>149.13999999999999</v>
      </c>
      <c r="H51" s="4">
        <v>907400</v>
      </c>
    </row>
    <row r="52" spans="2:8" ht="19" x14ac:dyDescent="0.25">
      <c r="B52" s="2">
        <v>45936</v>
      </c>
      <c r="C52" s="3">
        <v>146.99</v>
      </c>
      <c r="D52" s="3">
        <v>148.94</v>
      </c>
      <c r="E52" s="3">
        <v>145.38</v>
      </c>
      <c r="F52" s="3">
        <v>147.69</v>
      </c>
      <c r="G52" s="3">
        <v>147.19999999999999</v>
      </c>
      <c r="H52" s="4">
        <v>1482300</v>
      </c>
    </row>
    <row r="53" spans="2:8" ht="19" x14ac:dyDescent="0.25">
      <c r="B53" s="2">
        <v>45933</v>
      </c>
      <c r="C53" s="3">
        <v>145.68</v>
      </c>
      <c r="D53" s="3">
        <v>147.61000000000001</v>
      </c>
      <c r="E53" s="3">
        <v>145.32</v>
      </c>
      <c r="F53" s="3">
        <v>146.26</v>
      </c>
      <c r="G53" s="3">
        <v>145.77000000000001</v>
      </c>
      <c r="H53" s="4">
        <v>1869800</v>
      </c>
    </row>
    <row r="54" spans="2:8" ht="19" x14ac:dyDescent="0.25">
      <c r="B54" s="2">
        <v>45932</v>
      </c>
      <c r="C54" s="3">
        <v>145.82</v>
      </c>
      <c r="D54" s="3">
        <v>147</v>
      </c>
      <c r="E54" s="3">
        <v>144.12</v>
      </c>
      <c r="F54" s="3">
        <v>146.31</v>
      </c>
      <c r="G54" s="3">
        <v>145.82</v>
      </c>
      <c r="H54" s="4">
        <v>1576700</v>
      </c>
    </row>
    <row r="55" spans="2:8" ht="19" x14ac:dyDescent="0.25">
      <c r="B55" s="2">
        <v>45931</v>
      </c>
      <c r="C55" s="3">
        <v>148.44</v>
      </c>
      <c r="D55" s="3">
        <v>148.91</v>
      </c>
      <c r="E55" s="3">
        <v>145.63999999999999</v>
      </c>
      <c r="F55" s="3">
        <v>146.29</v>
      </c>
      <c r="G55" s="3">
        <v>145.80000000000001</v>
      </c>
      <c r="H55" s="4">
        <v>1712700</v>
      </c>
    </row>
    <row r="56" spans="2:8" ht="19" x14ac:dyDescent="0.25">
      <c r="B56" s="2">
        <v>45930</v>
      </c>
      <c r="C56" s="3">
        <v>150.41</v>
      </c>
      <c r="D56" s="3">
        <v>150.58000000000001</v>
      </c>
      <c r="E56" s="3">
        <v>147.59</v>
      </c>
      <c r="F56" s="3">
        <v>148.93</v>
      </c>
      <c r="G56" s="3">
        <v>148.43</v>
      </c>
      <c r="H56" s="4">
        <v>947200</v>
      </c>
    </row>
    <row r="57" spans="2:8" ht="19" x14ac:dyDescent="0.25">
      <c r="B57" s="2">
        <v>45929</v>
      </c>
      <c r="C57" s="3">
        <v>150.03</v>
      </c>
      <c r="D57" s="3">
        <v>151.81</v>
      </c>
      <c r="E57" s="3">
        <v>148.5</v>
      </c>
      <c r="F57" s="3">
        <v>151.16999999999999</v>
      </c>
      <c r="G57" s="3">
        <v>150.66999999999999</v>
      </c>
      <c r="H57" s="4">
        <v>988600</v>
      </c>
    </row>
    <row r="58" spans="2:8" ht="19" x14ac:dyDescent="0.25">
      <c r="B58" s="2">
        <v>45926</v>
      </c>
      <c r="C58" s="3">
        <v>148.84</v>
      </c>
      <c r="D58" s="3">
        <v>150.07</v>
      </c>
      <c r="E58" s="3">
        <v>148.33000000000001</v>
      </c>
      <c r="F58" s="3">
        <v>149.38</v>
      </c>
      <c r="G58" s="3">
        <v>148.88</v>
      </c>
      <c r="H58" s="4">
        <v>1246100</v>
      </c>
    </row>
    <row r="59" spans="2:8" ht="19" x14ac:dyDescent="0.25">
      <c r="B59" s="2">
        <v>45925</v>
      </c>
      <c r="C59" s="3">
        <v>151.5</v>
      </c>
      <c r="D59" s="3">
        <v>152.16999999999999</v>
      </c>
      <c r="E59" s="3">
        <v>148.30000000000001</v>
      </c>
      <c r="F59" s="3">
        <v>148.44999999999999</v>
      </c>
      <c r="G59" s="3">
        <v>147.96</v>
      </c>
      <c r="H59" s="4">
        <v>1225400</v>
      </c>
    </row>
    <row r="60" spans="2:8" ht="19" x14ac:dyDescent="0.25">
      <c r="B60" s="2">
        <v>45924</v>
      </c>
      <c r="C60" s="3">
        <v>150.15</v>
      </c>
      <c r="D60" s="3">
        <v>151.83000000000001</v>
      </c>
      <c r="E60" s="3">
        <v>150.15</v>
      </c>
      <c r="F60" s="3">
        <v>151.5</v>
      </c>
      <c r="G60" s="3">
        <v>151</v>
      </c>
      <c r="H60" s="4">
        <v>884200</v>
      </c>
    </row>
    <row r="61" spans="2:8" ht="19" x14ac:dyDescent="0.25">
      <c r="B61" s="2">
        <v>45923</v>
      </c>
      <c r="C61" s="3">
        <v>151.44999999999999</v>
      </c>
      <c r="D61" s="3">
        <v>151.9</v>
      </c>
      <c r="E61" s="3">
        <v>149.38999999999999</v>
      </c>
      <c r="F61" s="3">
        <v>150.02000000000001</v>
      </c>
      <c r="G61" s="3">
        <v>149.52000000000001</v>
      </c>
      <c r="H61" s="4">
        <v>642800</v>
      </c>
    </row>
    <row r="62" spans="2:8" ht="19" x14ac:dyDescent="0.25">
      <c r="B62" s="2">
        <v>45922</v>
      </c>
      <c r="C62" s="3">
        <v>152.06</v>
      </c>
      <c r="D62" s="3">
        <v>152.83000000000001</v>
      </c>
      <c r="E62" s="3">
        <v>150.63</v>
      </c>
      <c r="F62" s="3">
        <v>151.44999999999999</v>
      </c>
      <c r="G62" s="3">
        <v>150.94999999999999</v>
      </c>
      <c r="H62" s="4">
        <v>922000</v>
      </c>
    </row>
    <row r="63" spans="2:8" ht="19" x14ac:dyDescent="0.25">
      <c r="B63" s="2">
        <v>45919</v>
      </c>
      <c r="C63" s="3">
        <v>155.05000000000001</v>
      </c>
      <c r="D63" s="3">
        <v>155.24</v>
      </c>
      <c r="E63" s="3">
        <v>151.69</v>
      </c>
      <c r="F63" s="3">
        <v>151.97</v>
      </c>
      <c r="G63" s="3">
        <v>151.46</v>
      </c>
      <c r="H63" s="4">
        <v>3452800</v>
      </c>
    </row>
    <row r="64" spans="2:8" ht="19" x14ac:dyDescent="0.25">
      <c r="B64" s="2">
        <v>45918</v>
      </c>
      <c r="C64" s="3">
        <v>159.47999999999999</v>
      </c>
      <c r="D64" s="3">
        <v>160.22</v>
      </c>
      <c r="E64" s="3">
        <v>154.38999999999999</v>
      </c>
      <c r="F64" s="3">
        <v>154.47</v>
      </c>
      <c r="G64" s="3">
        <v>153.96</v>
      </c>
      <c r="H64" s="4">
        <v>1175800</v>
      </c>
    </row>
    <row r="65" spans="2:8" ht="19" x14ac:dyDescent="0.25">
      <c r="B65" s="2">
        <v>45917</v>
      </c>
      <c r="C65" s="3">
        <v>160</v>
      </c>
      <c r="D65" s="3">
        <v>161.91999999999999</v>
      </c>
      <c r="E65" s="3">
        <v>159.46</v>
      </c>
      <c r="F65" s="3">
        <v>159.78</v>
      </c>
      <c r="G65" s="3">
        <v>159.25</v>
      </c>
      <c r="H65" s="4">
        <v>696200</v>
      </c>
    </row>
    <row r="66" spans="2:8" ht="19" x14ac:dyDescent="0.25">
      <c r="B66" s="2">
        <v>45916</v>
      </c>
      <c r="C66" s="3">
        <v>158.08000000000001</v>
      </c>
      <c r="D66" s="3">
        <v>159.25</v>
      </c>
      <c r="E66" s="3">
        <v>157.36000000000001</v>
      </c>
      <c r="F66" s="3">
        <v>159.07</v>
      </c>
      <c r="G66" s="3">
        <v>158.54</v>
      </c>
      <c r="H66" s="4">
        <v>695400</v>
      </c>
    </row>
    <row r="67" spans="2:8" ht="19" x14ac:dyDescent="0.25">
      <c r="B67" s="2">
        <v>45915</v>
      </c>
      <c r="C67" s="3">
        <v>160.12</v>
      </c>
      <c r="D67" s="3">
        <v>160.78</v>
      </c>
      <c r="E67" s="3">
        <v>157.71</v>
      </c>
      <c r="F67" s="3">
        <v>158.43</v>
      </c>
      <c r="G67" s="3">
        <v>157.9</v>
      </c>
      <c r="H67" s="4">
        <v>797100</v>
      </c>
    </row>
    <row r="68" spans="2:8" ht="19" x14ac:dyDescent="0.25">
      <c r="B68" s="2">
        <v>45912</v>
      </c>
      <c r="C68" s="3">
        <v>160.30000000000001</v>
      </c>
      <c r="D68" s="3">
        <v>161.29</v>
      </c>
      <c r="E68" s="3">
        <v>159.87</v>
      </c>
      <c r="F68" s="3">
        <v>160.12</v>
      </c>
      <c r="G68" s="3">
        <v>159.59</v>
      </c>
      <c r="H68" s="4">
        <v>693400</v>
      </c>
    </row>
    <row r="69" spans="2:8" ht="19" x14ac:dyDescent="0.25">
      <c r="B69" s="2">
        <v>45911</v>
      </c>
      <c r="C69" s="3">
        <v>159.22999999999999</v>
      </c>
      <c r="D69" s="3">
        <v>161.47999999999999</v>
      </c>
      <c r="E69" s="3">
        <v>158.91</v>
      </c>
      <c r="F69" s="3">
        <v>161.41999999999999</v>
      </c>
      <c r="G69" s="3">
        <v>160.88</v>
      </c>
      <c r="H69" s="4">
        <v>781200</v>
      </c>
    </row>
    <row r="70" spans="2:8" ht="19" x14ac:dyDescent="0.25">
      <c r="B70" s="2">
        <v>45910</v>
      </c>
      <c r="C70" s="3">
        <v>162.1</v>
      </c>
      <c r="D70" s="3">
        <v>162.31</v>
      </c>
      <c r="E70" s="3">
        <v>158.76</v>
      </c>
      <c r="F70" s="3">
        <v>159.1</v>
      </c>
      <c r="G70" s="3">
        <v>158.57</v>
      </c>
      <c r="H70" s="4">
        <v>892200</v>
      </c>
    </row>
    <row r="71" spans="2:8" ht="19" x14ac:dyDescent="0.25">
      <c r="B71" s="2">
        <v>45909</v>
      </c>
      <c r="C71" s="3">
        <v>162.28</v>
      </c>
      <c r="D71" s="3">
        <v>163.65</v>
      </c>
      <c r="E71" s="3">
        <v>161.72999999999999</v>
      </c>
      <c r="F71" s="3">
        <v>162.75</v>
      </c>
      <c r="G71" s="3">
        <v>162.21</v>
      </c>
      <c r="H71" s="4">
        <v>652300</v>
      </c>
    </row>
    <row r="72" spans="2:8" ht="19" x14ac:dyDescent="0.25">
      <c r="B72" s="2">
        <v>45908</v>
      </c>
      <c r="C72" s="3">
        <v>162.99</v>
      </c>
      <c r="D72" s="3">
        <v>162.99</v>
      </c>
      <c r="E72" s="3">
        <v>160.43</v>
      </c>
      <c r="F72" s="3">
        <v>162.53</v>
      </c>
      <c r="G72" s="3">
        <v>161.99</v>
      </c>
      <c r="H72" s="4">
        <v>608900</v>
      </c>
    </row>
    <row r="73" spans="2:8" ht="19" x14ac:dyDescent="0.25">
      <c r="B73" s="2">
        <v>45905</v>
      </c>
      <c r="C73" s="3">
        <v>161.29</v>
      </c>
      <c r="D73" s="3">
        <v>163.18</v>
      </c>
      <c r="E73" s="3">
        <v>160.44999999999999</v>
      </c>
      <c r="F73" s="3">
        <v>162.24</v>
      </c>
      <c r="G73" s="3">
        <v>161.69999999999999</v>
      </c>
      <c r="H73" s="4">
        <v>595400</v>
      </c>
    </row>
    <row r="74" spans="2:8" ht="19" x14ac:dyDescent="0.25">
      <c r="B74" s="2">
        <v>45904</v>
      </c>
      <c r="C74" s="3">
        <v>161.6</v>
      </c>
      <c r="D74" s="3">
        <v>162.09</v>
      </c>
      <c r="E74" s="3">
        <v>159.88</v>
      </c>
      <c r="F74" s="3">
        <v>161.87</v>
      </c>
      <c r="G74" s="3">
        <v>160.75</v>
      </c>
      <c r="H74" s="4">
        <v>660000</v>
      </c>
    </row>
    <row r="75" spans="2:8" ht="19" x14ac:dyDescent="0.25">
      <c r="B75" s="2">
        <v>45903</v>
      </c>
      <c r="C75" s="3">
        <v>160.31</v>
      </c>
      <c r="D75" s="3">
        <v>161.69</v>
      </c>
      <c r="E75" s="3">
        <v>159.18</v>
      </c>
      <c r="F75" s="3">
        <v>161.59</v>
      </c>
      <c r="G75" s="3">
        <v>160.47</v>
      </c>
      <c r="H75" s="4">
        <v>652900</v>
      </c>
    </row>
    <row r="76" spans="2:8" ht="19" x14ac:dyDescent="0.25">
      <c r="B76" s="2">
        <v>45902</v>
      </c>
      <c r="C76" s="3">
        <v>162.26</v>
      </c>
      <c r="D76" s="3">
        <v>163.05000000000001</v>
      </c>
      <c r="E76" s="3">
        <v>160</v>
      </c>
      <c r="F76" s="3">
        <v>160.77000000000001</v>
      </c>
      <c r="G76" s="3">
        <v>159.66</v>
      </c>
      <c r="H76" s="4">
        <v>869600</v>
      </c>
    </row>
    <row r="77" spans="2:8" ht="19" x14ac:dyDescent="0.25">
      <c r="B77" s="2">
        <v>45898</v>
      </c>
      <c r="C77" s="3">
        <v>163.53</v>
      </c>
      <c r="D77" s="3">
        <v>164.99</v>
      </c>
      <c r="E77" s="3">
        <v>162.69999999999999</v>
      </c>
      <c r="F77" s="3">
        <v>163.26</v>
      </c>
      <c r="G77" s="3">
        <v>162.13</v>
      </c>
      <c r="H77" s="4">
        <v>692800</v>
      </c>
    </row>
    <row r="78" spans="2:8" ht="19" x14ac:dyDescent="0.25">
      <c r="B78" s="2">
        <v>45897</v>
      </c>
      <c r="C78" s="3">
        <v>162.49</v>
      </c>
      <c r="D78" s="3">
        <v>163.03</v>
      </c>
      <c r="E78" s="3">
        <v>161.86000000000001</v>
      </c>
      <c r="F78" s="3">
        <v>162.82</v>
      </c>
      <c r="G78" s="3">
        <v>161.69999999999999</v>
      </c>
      <c r="H78" s="4">
        <v>586300</v>
      </c>
    </row>
    <row r="79" spans="2:8" ht="19" x14ac:dyDescent="0.25">
      <c r="B79" s="2">
        <v>45896</v>
      </c>
      <c r="C79" s="3">
        <v>162.19999999999999</v>
      </c>
      <c r="D79" s="3">
        <v>163.15</v>
      </c>
      <c r="E79" s="3">
        <v>162.09</v>
      </c>
      <c r="F79" s="3">
        <v>162.74</v>
      </c>
      <c r="G79" s="3">
        <v>161.62</v>
      </c>
      <c r="H79" s="4">
        <v>584600</v>
      </c>
    </row>
    <row r="80" spans="2:8" ht="19" x14ac:dyDescent="0.25">
      <c r="B80" s="2">
        <v>45895</v>
      </c>
      <c r="C80" s="3">
        <v>161.51</v>
      </c>
      <c r="D80" s="3">
        <v>162.16</v>
      </c>
      <c r="E80" s="3">
        <v>160.30000000000001</v>
      </c>
      <c r="F80" s="3">
        <v>162.08000000000001</v>
      </c>
      <c r="G80" s="3">
        <v>160.96</v>
      </c>
      <c r="H80" s="4">
        <v>725500</v>
      </c>
    </row>
    <row r="81" spans="2:8" ht="19" x14ac:dyDescent="0.25">
      <c r="B81" s="2">
        <v>45894</v>
      </c>
      <c r="C81" s="3">
        <v>164.99</v>
      </c>
      <c r="D81" s="3">
        <v>165.4</v>
      </c>
      <c r="E81" s="3">
        <v>161.16</v>
      </c>
      <c r="F81" s="3">
        <v>161.68</v>
      </c>
      <c r="G81" s="3">
        <v>160.56</v>
      </c>
      <c r="H81" s="4">
        <v>771100</v>
      </c>
    </row>
    <row r="82" spans="2:8" ht="19" x14ac:dyDescent="0.25">
      <c r="B82" s="2">
        <v>45891</v>
      </c>
      <c r="C82" s="3">
        <v>164.64</v>
      </c>
      <c r="D82" s="3">
        <v>166.41</v>
      </c>
      <c r="E82" s="3">
        <v>163.72999999999999</v>
      </c>
      <c r="F82" s="3">
        <v>165.56</v>
      </c>
      <c r="G82" s="3">
        <v>164.42</v>
      </c>
      <c r="H82" s="4">
        <v>768900</v>
      </c>
    </row>
    <row r="83" spans="2:8" ht="19" x14ac:dyDescent="0.25">
      <c r="B83" s="2">
        <v>45890</v>
      </c>
      <c r="C83" s="3">
        <v>163.34</v>
      </c>
      <c r="D83" s="3">
        <v>164.21</v>
      </c>
      <c r="E83" s="3">
        <v>161.83000000000001</v>
      </c>
      <c r="F83" s="3">
        <v>163.26</v>
      </c>
      <c r="G83" s="3">
        <v>162.13</v>
      </c>
      <c r="H83" s="4">
        <v>1020100</v>
      </c>
    </row>
    <row r="84" spans="2:8" ht="19" x14ac:dyDescent="0.25">
      <c r="B84" s="2">
        <v>45889</v>
      </c>
      <c r="C84" s="3">
        <v>159</v>
      </c>
      <c r="D84" s="3">
        <v>166.14</v>
      </c>
      <c r="E84" s="3">
        <v>158.53</v>
      </c>
      <c r="F84" s="3">
        <v>163.80000000000001</v>
      </c>
      <c r="G84" s="3">
        <v>162.66999999999999</v>
      </c>
      <c r="H84" s="4">
        <v>1769700</v>
      </c>
    </row>
    <row r="85" spans="2:8" ht="19" x14ac:dyDescent="0.25">
      <c r="B85" s="2">
        <v>45888</v>
      </c>
      <c r="C85" s="3">
        <v>160.91999999999999</v>
      </c>
      <c r="D85" s="3">
        <v>161.11000000000001</v>
      </c>
      <c r="E85" s="3">
        <v>158.82</v>
      </c>
      <c r="F85" s="3">
        <v>160.63</v>
      </c>
      <c r="G85" s="3">
        <v>159.52000000000001</v>
      </c>
      <c r="H85" s="4">
        <v>950500</v>
      </c>
    </row>
    <row r="86" spans="2:8" ht="19" x14ac:dyDescent="0.25">
      <c r="B86" s="2">
        <v>45887</v>
      </c>
      <c r="C86" s="3">
        <v>160.83000000000001</v>
      </c>
      <c r="D86" s="3">
        <v>161.83000000000001</v>
      </c>
      <c r="E86" s="3">
        <v>160.63</v>
      </c>
      <c r="F86" s="3">
        <v>160.83000000000001</v>
      </c>
      <c r="G86" s="3">
        <v>159.72</v>
      </c>
      <c r="H86" s="4">
        <v>744000</v>
      </c>
    </row>
    <row r="87" spans="2:8" ht="19" x14ac:dyDescent="0.25">
      <c r="B87" s="2">
        <v>45884</v>
      </c>
      <c r="C87" s="3">
        <v>159.22</v>
      </c>
      <c r="D87" s="3">
        <v>161.21</v>
      </c>
      <c r="E87" s="3">
        <v>159.05000000000001</v>
      </c>
      <c r="F87" s="3">
        <v>160.38999999999999</v>
      </c>
      <c r="G87" s="3">
        <v>159.28</v>
      </c>
      <c r="H87" s="4">
        <v>814400</v>
      </c>
    </row>
    <row r="88" spans="2:8" ht="19" x14ac:dyDescent="0.25">
      <c r="B88" s="2">
        <v>45883</v>
      </c>
      <c r="C88" s="3">
        <v>162.80000000000001</v>
      </c>
      <c r="D88" s="3">
        <v>163.1</v>
      </c>
      <c r="E88" s="3">
        <v>159.04</v>
      </c>
      <c r="F88" s="3">
        <v>159.25</v>
      </c>
      <c r="G88" s="3">
        <v>158.15</v>
      </c>
      <c r="H88" s="4">
        <v>1066900</v>
      </c>
    </row>
    <row r="89" spans="2:8" ht="19" x14ac:dyDescent="0.25">
      <c r="B89" s="2">
        <v>45882</v>
      </c>
      <c r="C89" s="3">
        <v>160</v>
      </c>
      <c r="D89" s="3">
        <v>163.72</v>
      </c>
      <c r="E89" s="3">
        <v>158.49</v>
      </c>
      <c r="F89" s="3">
        <v>163.37</v>
      </c>
      <c r="G89" s="3">
        <v>162.24</v>
      </c>
      <c r="H89" s="4">
        <v>901000</v>
      </c>
    </row>
    <row r="90" spans="2:8" ht="19" x14ac:dyDescent="0.25">
      <c r="B90" s="2">
        <v>45881</v>
      </c>
      <c r="C90" s="3">
        <v>159.24</v>
      </c>
      <c r="D90" s="3">
        <v>162.25</v>
      </c>
      <c r="E90" s="3">
        <v>158.82</v>
      </c>
      <c r="F90" s="3">
        <v>159.79</v>
      </c>
      <c r="G90" s="3">
        <v>158.69</v>
      </c>
      <c r="H90" s="4">
        <v>1279400</v>
      </c>
    </row>
    <row r="91" spans="2:8" ht="19" x14ac:dyDescent="0.25">
      <c r="B91" s="2">
        <v>45880</v>
      </c>
      <c r="C91" s="3">
        <v>161.22999999999999</v>
      </c>
      <c r="D91" s="3">
        <v>161.9</v>
      </c>
      <c r="E91" s="3">
        <v>157.80000000000001</v>
      </c>
      <c r="F91" s="3">
        <v>158.52000000000001</v>
      </c>
      <c r="G91" s="3">
        <v>157.43</v>
      </c>
      <c r="H91" s="4">
        <v>1114500</v>
      </c>
    </row>
    <row r="92" spans="2:8" ht="19" x14ac:dyDescent="0.25">
      <c r="B92" s="2">
        <v>45877</v>
      </c>
      <c r="C92" s="3">
        <v>164.73</v>
      </c>
      <c r="D92" s="3">
        <v>165.2</v>
      </c>
      <c r="E92" s="3">
        <v>161.01</v>
      </c>
      <c r="F92" s="3">
        <v>161.56</v>
      </c>
      <c r="G92" s="3">
        <v>160.44999999999999</v>
      </c>
      <c r="H92" s="4">
        <v>885100</v>
      </c>
    </row>
    <row r="93" spans="2:8" ht="19" x14ac:dyDescent="0.25">
      <c r="B93" s="2">
        <v>45876</v>
      </c>
      <c r="C93" s="3">
        <v>167.35</v>
      </c>
      <c r="D93" s="3">
        <v>167.7</v>
      </c>
      <c r="E93" s="3">
        <v>163.77000000000001</v>
      </c>
      <c r="F93" s="3">
        <v>164.09</v>
      </c>
      <c r="G93" s="3">
        <v>162.96</v>
      </c>
      <c r="H93" s="4">
        <v>671200</v>
      </c>
    </row>
    <row r="94" spans="2:8" ht="19" x14ac:dyDescent="0.25">
      <c r="B94" s="2">
        <v>45875</v>
      </c>
      <c r="C94" s="3">
        <v>166.01</v>
      </c>
      <c r="D94" s="3">
        <v>168.22</v>
      </c>
      <c r="E94" s="3">
        <v>164.68</v>
      </c>
      <c r="F94" s="3">
        <v>166.76</v>
      </c>
      <c r="G94" s="3">
        <v>165.61</v>
      </c>
      <c r="H94" s="4">
        <v>480900</v>
      </c>
    </row>
    <row r="95" spans="2:8" ht="19" x14ac:dyDescent="0.25">
      <c r="B95" s="2">
        <v>45874</v>
      </c>
      <c r="C95" s="3">
        <v>170.29</v>
      </c>
      <c r="D95" s="3">
        <v>171.58</v>
      </c>
      <c r="E95" s="3">
        <v>165.84</v>
      </c>
      <c r="F95" s="3">
        <v>166.01</v>
      </c>
      <c r="G95" s="3">
        <v>164.86</v>
      </c>
      <c r="H95" s="4">
        <v>660300</v>
      </c>
    </row>
    <row r="96" spans="2:8" ht="19" x14ac:dyDescent="0.25">
      <c r="B96" s="2">
        <v>45873</v>
      </c>
      <c r="C96" s="3">
        <v>167.51</v>
      </c>
      <c r="D96" s="3">
        <v>170.63</v>
      </c>
      <c r="E96" s="3">
        <v>167.51</v>
      </c>
      <c r="F96" s="3">
        <v>170.48</v>
      </c>
      <c r="G96" s="3">
        <v>169.3</v>
      </c>
      <c r="H96" s="4">
        <v>837800</v>
      </c>
    </row>
    <row r="97" spans="2:8" ht="19" x14ac:dyDescent="0.25">
      <c r="B97" s="2">
        <v>45870</v>
      </c>
      <c r="C97" s="3">
        <v>170.28</v>
      </c>
      <c r="D97" s="3">
        <v>170.97</v>
      </c>
      <c r="E97" s="3">
        <v>166.67</v>
      </c>
      <c r="F97" s="3">
        <v>167.28</v>
      </c>
      <c r="G97" s="3">
        <v>166.13</v>
      </c>
      <c r="H97" s="4">
        <v>627100</v>
      </c>
    </row>
    <row r="98" spans="2:8" ht="19" x14ac:dyDescent="0.25">
      <c r="B98" s="2">
        <v>45869</v>
      </c>
      <c r="C98" s="3">
        <v>172</v>
      </c>
      <c r="D98" s="3">
        <v>173.64</v>
      </c>
      <c r="E98" s="3">
        <v>169.52</v>
      </c>
      <c r="F98" s="3">
        <v>169.82</v>
      </c>
      <c r="G98" s="3">
        <v>168.65</v>
      </c>
      <c r="H98" s="4">
        <v>665200</v>
      </c>
    </row>
    <row r="99" spans="2:8" ht="19" x14ac:dyDescent="0.25">
      <c r="B99" s="2">
        <v>45868</v>
      </c>
      <c r="C99" s="3">
        <v>175.75</v>
      </c>
      <c r="D99" s="3">
        <v>176.53</v>
      </c>
      <c r="E99" s="3">
        <v>172.98</v>
      </c>
      <c r="F99" s="3">
        <v>173.35</v>
      </c>
      <c r="G99" s="3">
        <v>172.15</v>
      </c>
      <c r="H99" s="4">
        <v>447900</v>
      </c>
    </row>
    <row r="100" spans="2:8" ht="19" x14ac:dyDescent="0.25">
      <c r="B100" s="2">
        <v>45867</v>
      </c>
      <c r="C100" s="3">
        <v>175.58</v>
      </c>
      <c r="D100" s="3">
        <v>176.65</v>
      </c>
      <c r="E100" s="3">
        <v>174.66</v>
      </c>
      <c r="F100" s="3">
        <v>175.44</v>
      </c>
      <c r="G100" s="3">
        <v>174.23</v>
      </c>
      <c r="H100" s="4">
        <v>276600</v>
      </c>
    </row>
    <row r="101" spans="2:8" ht="19" x14ac:dyDescent="0.25">
      <c r="B101" s="2">
        <v>45866</v>
      </c>
      <c r="C101" s="3">
        <v>175.88</v>
      </c>
      <c r="D101" s="3">
        <v>176.56</v>
      </c>
      <c r="E101" s="3">
        <v>175.14</v>
      </c>
      <c r="F101" s="3">
        <v>175.38</v>
      </c>
      <c r="G101" s="3">
        <v>174.17</v>
      </c>
      <c r="H101" s="4">
        <v>432100</v>
      </c>
    </row>
    <row r="102" spans="2:8" ht="19" x14ac:dyDescent="0.25">
      <c r="B102" s="2">
        <v>45863</v>
      </c>
      <c r="C102" s="3">
        <v>180.27</v>
      </c>
      <c r="D102" s="3">
        <v>180.27</v>
      </c>
      <c r="E102" s="3">
        <v>172.62</v>
      </c>
      <c r="F102" s="3">
        <v>176.35</v>
      </c>
      <c r="G102" s="3">
        <v>175.13</v>
      </c>
      <c r="H102" s="4">
        <v>792600</v>
      </c>
    </row>
    <row r="103" spans="2:8" ht="19" x14ac:dyDescent="0.25">
      <c r="B103" s="2">
        <v>45862</v>
      </c>
      <c r="C103" s="3">
        <v>179.66</v>
      </c>
      <c r="D103" s="3">
        <v>182.31</v>
      </c>
      <c r="E103" s="3">
        <v>176.26</v>
      </c>
      <c r="F103" s="3">
        <v>180.9</v>
      </c>
      <c r="G103" s="3">
        <v>179.65</v>
      </c>
      <c r="H103" s="4">
        <v>387700</v>
      </c>
    </row>
    <row r="104" spans="2:8" ht="19" x14ac:dyDescent="0.25">
      <c r="B104" s="2">
        <v>45861</v>
      </c>
      <c r="C104" s="3">
        <v>180.52</v>
      </c>
      <c r="D104" s="3">
        <v>181.11</v>
      </c>
      <c r="E104" s="3">
        <v>179.07</v>
      </c>
      <c r="F104" s="3">
        <v>180.53</v>
      </c>
      <c r="G104" s="3">
        <v>179.28</v>
      </c>
      <c r="H104" s="4">
        <v>357200</v>
      </c>
    </row>
    <row r="105" spans="2:8" ht="19" x14ac:dyDescent="0.25">
      <c r="B105" s="2">
        <v>45860</v>
      </c>
      <c r="C105" s="3">
        <v>178.35</v>
      </c>
      <c r="D105" s="3">
        <v>180.87</v>
      </c>
      <c r="E105" s="3">
        <v>178.16</v>
      </c>
      <c r="F105" s="3">
        <v>180.58</v>
      </c>
      <c r="G105" s="3">
        <v>179.33</v>
      </c>
      <c r="H105" s="4">
        <v>390900</v>
      </c>
    </row>
    <row r="106" spans="2:8" ht="19" x14ac:dyDescent="0.25">
      <c r="B106" s="2">
        <v>45859</v>
      </c>
      <c r="C106" s="3">
        <v>178.45</v>
      </c>
      <c r="D106" s="3">
        <v>179.38</v>
      </c>
      <c r="E106" s="3">
        <v>176.41</v>
      </c>
      <c r="F106" s="3">
        <v>176.86</v>
      </c>
      <c r="G106" s="3">
        <v>175.64</v>
      </c>
      <c r="H106" s="4">
        <v>372000</v>
      </c>
    </row>
    <row r="107" spans="2:8" ht="19" x14ac:dyDescent="0.25">
      <c r="B107" s="2">
        <v>45856</v>
      </c>
      <c r="C107" s="3">
        <v>180</v>
      </c>
      <c r="D107" s="3">
        <v>180.38</v>
      </c>
      <c r="E107" s="3">
        <v>178.42</v>
      </c>
      <c r="F107" s="3">
        <v>178.64</v>
      </c>
      <c r="G107" s="3">
        <v>177.41</v>
      </c>
      <c r="H107" s="4">
        <v>430500</v>
      </c>
    </row>
    <row r="108" spans="2:8" ht="19" x14ac:dyDescent="0.25">
      <c r="B108" s="2">
        <v>45855</v>
      </c>
      <c r="C108" s="3">
        <v>177.31</v>
      </c>
      <c r="D108" s="3">
        <v>179.34</v>
      </c>
      <c r="E108" s="3">
        <v>176.5</v>
      </c>
      <c r="F108" s="3">
        <v>179.09</v>
      </c>
      <c r="G108" s="3">
        <v>177.85</v>
      </c>
      <c r="H108" s="4">
        <v>427700</v>
      </c>
    </row>
    <row r="109" spans="2:8" ht="19" x14ac:dyDescent="0.25">
      <c r="B109" s="2">
        <v>45854</v>
      </c>
      <c r="C109" s="3">
        <v>176.04</v>
      </c>
      <c r="D109" s="3">
        <v>177.61</v>
      </c>
      <c r="E109" s="3">
        <v>175.34</v>
      </c>
      <c r="F109" s="3">
        <v>177.5</v>
      </c>
      <c r="G109" s="3">
        <v>176.28</v>
      </c>
      <c r="H109" s="4">
        <v>439600</v>
      </c>
    </row>
    <row r="110" spans="2:8" ht="19" x14ac:dyDescent="0.25">
      <c r="B110" s="2">
        <v>45853</v>
      </c>
      <c r="C110" s="3">
        <v>175.51</v>
      </c>
      <c r="D110" s="3">
        <v>177.31</v>
      </c>
      <c r="E110" s="3">
        <v>175.02</v>
      </c>
      <c r="F110" s="3">
        <v>175.02</v>
      </c>
      <c r="G110" s="3">
        <v>173.81</v>
      </c>
      <c r="H110" s="4">
        <v>729600</v>
      </c>
    </row>
    <row r="111" spans="2:8" ht="19" x14ac:dyDescent="0.25">
      <c r="B111" s="2">
        <v>45852</v>
      </c>
      <c r="C111" s="3">
        <v>174.98</v>
      </c>
      <c r="D111" s="3">
        <v>177.6</v>
      </c>
      <c r="E111" s="3">
        <v>174.96</v>
      </c>
      <c r="F111" s="3">
        <v>176.17</v>
      </c>
      <c r="G111" s="3">
        <v>174.95</v>
      </c>
      <c r="H111" s="4">
        <v>327400</v>
      </c>
    </row>
    <row r="112" spans="2:8" ht="19" x14ac:dyDescent="0.25">
      <c r="B112" s="2">
        <v>45849</v>
      </c>
      <c r="C112" s="3">
        <v>179.36</v>
      </c>
      <c r="D112" s="3">
        <v>179.36</v>
      </c>
      <c r="E112" s="3">
        <v>175.03</v>
      </c>
      <c r="F112" s="3">
        <v>175.19</v>
      </c>
      <c r="G112" s="3">
        <v>173.98</v>
      </c>
      <c r="H112" s="4">
        <v>439400</v>
      </c>
    </row>
    <row r="113" spans="2:8" ht="19" x14ac:dyDescent="0.25">
      <c r="B113" s="2">
        <v>45848</v>
      </c>
      <c r="C113" s="3">
        <v>178.91</v>
      </c>
      <c r="D113" s="3">
        <v>181.2</v>
      </c>
      <c r="E113" s="3">
        <v>178</v>
      </c>
      <c r="F113" s="3">
        <v>179.56</v>
      </c>
      <c r="G113" s="3">
        <v>178.32</v>
      </c>
      <c r="H113" s="4">
        <v>243800</v>
      </c>
    </row>
    <row r="114" spans="2:8" ht="19" x14ac:dyDescent="0.25">
      <c r="B114" s="2">
        <v>45847</v>
      </c>
      <c r="C114" s="3">
        <v>180.63</v>
      </c>
      <c r="D114" s="3">
        <v>181.05</v>
      </c>
      <c r="E114" s="3">
        <v>178.21</v>
      </c>
      <c r="F114" s="3">
        <v>179.76</v>
      </c>
      <c r="G114" s="3">
        <v>178.52</v>
      </c>
      <c r="H114" s="4">
        <v>344800</v>
      </c>
    </row>
    <row r="115" spans="2:8" ht="19" x14ac:dyDescent="0.25">
      <c r="B115" s="2">
        <v>45846</v>
      </c>
      <c r="C115" s="3">
        <v>179.77</v>
      </c>
      <c r="D115" s="3">
        <v>182.11</v>
      </c>
      <c r="E115" s="3">
        <v>179.62</v>
      </c>
      <c r="F115" s="3">
        <v>180.32</v>
      </c>
      <c r="G115" s="3">
        <v>179.08</v>
      </c>
      <c r="H115" s="4">
        <v>527600</v>
      </c>
    </row>
    <row r="116" spans="2:8" ht="19" x14ac:dyDescent="0.25">
      <c r="B116" s="2">
        <v>45845</v>
      </c>
      <c r="C116" s="3">
        <v>180.59</v>
      </c>
      <c r="D116" s="3">
        <v>181.71</v>
      </c>
      <c r="E116" s="3">
        <v>179.41</v>
      </c>
      <c r="F116" s="3">
        <v>180.52</v>
      </c>
      <c r="G116" s="3">
        <v>179.27</v>
      </c>
      <c r="H116" s="4">
        <v>333600</v>
      </c>
    </row>
    <row r="117" spans="2:8" ht="19" x14ac:dyDescent="0.25">
      <c r="B117" s="2">
        <v>45841</v>
      </c>
      <c r="C117" s="3">
        <v>180.19</v>
      </c>
      <c r="D117" s="3">
        <v>182.07</v>
      </c>
      <c r="E117" s="3">
        <v>178.5</v>
      </c>
      <c r="F117" s="3">
        <v>181.32</v>
      </c>
      <c r="G117" s="3">
        <v>180.07</v>
      </c>
      <c r="H117" s="4">
        <v>245500</v>
      </c>
    </row>
    <row r="118" spans="2:8" ht="19" x14ac:dyDescent="0.25">
      <c r="B118" s="2">
        <v>45840</v>
      </c>
      <c r="C118" s="3">
        <v>181.19</v>
      </c>
      <c r="D118" s="3">
        <v>182.01</v>
      </c>
      <c r="E118" s="3">
        <v>177.37</v>
      </c>
      <c r="F118" s="3">
        <v>179.42</v>
      </c>
      <c r="G118" s="3">
        <v>178.18</v>
      </c>
      <c r="H118" s="4">
        <v>419200</v>
      </c>
    </row>
    <row r="119" spans="2:8" ht="19" x14ac:dyDescent="0.25">
      <c r="B119" s="2">
        <v>45839</v>
      </c>
      <c r="C119" s="3">
        <v>180.04</v>
      </c>
      <c r="D119" s="3">
        <v>183.31</v>
      </c>
      <c r="E119" s="3">
        <v>179.65</v>
      </c>
      <c r="F119" s="3">
        <v>182.09</v>
      </c>
      <c r="G119" s="3">
        <v>180.83</v>
      </c>
      <c r="H119" s="4">
        <v>618800</v>
      </c>
    </row>
    <row r="120" spans="2:8" ht="19" x14ac:dyDescent="0.25">
      <c r="B120" s="2">
        <v>45838</v>
      </c>
      <c r="C120" s="3">
        <v>178.77</v>
      </c>
      <c r="D120" s="3">
        <v>180.58</v>
      </c>
      <c r="E120" s="3">
        <v>176.95</v>
      </c>
      <c r="F120" s="3">
        <v>180.17</v>
      </c>
      <c r="G120" s="3">
        <v>178.93</v>
      </c>
      <c r="H120" s="4">
        <v>543300</v>
      </c>
    </row>
    <row r="121" spans="2:8" ht="19" x14ac:dyDescent="0.25">
      <c r="B121" s="2">
        <v>45835</v>
      </c>
      <c r="C121" s="3">
        <v>177.89</v>
      </c>
      <c r="D121" s="3">
        <v>178.7</v>
      </c>
      <c r="E121" s="3">
        <v>177.02</v>
      </c>
      <c r="F121" s="3">
        <v>178.32</v>
      </c>
      <c r="G121" s="3">
        <v>177.09</v>
      </c>
      <c r="H121" s="4">
        <v>687200</v>
      </c>
    </row>
    <row r="122" spans="2:8" ht="19" x14ac:dyDescent="0.25">
      <c r="B122" s="2">
        <v>45834</v>
      </c>
      <c r="C122" s="3">
        <v>178.53</v>
      </c>
      <c r="D122" s="3">
        <v>179.52</v>
      </c>
      <c r="E122" s="3">
        <v>177.02</v>
      </c>
      <c r="F122" s="3">
        <v>177.6</v>
      </c>
      <c r="G122" s="3">
        <v>176.37</v>
      </c>
      <c r="H122" s="4">
        <v>502500</v>
      </c>
    </row>
    <row r="123" spans="2:8" ht="19" x14ac:dyDescent="0.25">
      <c r="B123" s="2">
        <v>45833</v>
      </c>
      <c r="C123" s="3">
        <v>180.68</v>
      </c>
      <c r="D123" s="3">
        <v>180.85</v>
      </c>
      <c r="E123" s="3">
        <v>177.76</v>
      </c>
      <c r="F123" s="3">
        <v>178.06</v>
      </c>
      <c r="G123" s="3">
        <v>176.83</v>
      </c>
      <c r="H123" s="4">
        <v>399100</v>
      </c>
    </row>
    <row r="124" spans="2:8" ht="19" x14ac:dyDescent="0.25">
      <c r="B124" s="2">
        <v>45832</v>
      </c>
      <c r="C124" s="3">
        <v>181.82</v>
      </c>
      <c r="D124" s="3">
        <v>183.59</v>
      </c>
      <c r="E124" s="3">
        <v>180.22</v>
      </c>
      <c r="F124" s="3">
        <v>181.02</v>
      </c>
      <c r="G124" s="3">
        <v>179.77</v>
      </c>
      <c r="H124" s="4">
        <v>432800</v>
      </c>
    </row>
    <row r="125" spans="2:8" ht="19" x14ac:dyDescent="0.25">
      <c r="B125" s="2">
        <v>45831</v>
      </c>
      <c r="C125" s="3">
        <v>178.48</v>
      </c>
      <c r="D125" s="3">
        <v>181.32</v>
      </c>
      <c r="E125" s="3">
        <v>177.45</v>
      </c>
      <c r="F125" s="3">
        <v>181.02</v>
      </c>
      <c r="G125" s="3">
        <v>179.77</v>
      </c>
      <c r="H125" s="4">
        <v>506100</v>
      </c>
    </row>
    <row r="126" spans="2:8" ht="19" x14ac:dyDescent="0.25">
      <c r="B126" s="2">
        <v>45828</v>
      </c>
      <c r="C126" s="3">
        <v>181.9</v>
      </c>
      <c r="D126" s="3">
        <v>183.23</v>
      </c>
      <c r="E126" s="3">
        <v>177.18</v>
      </c>
      <c r="F126" s="3">
        <v>178.28</v>
      </c>
      <c r="G126" s="3">
        <v>177.05</v>
      </c>
      <c r="H126" s="4">
        <v>888100</v>
      </c>
    </row>
    <row r="127" spans="2:8" ht="19" x14ac:dyDescent="0.25">
      <c r="B127" s="2">
        <v>45826</v>
      </c>
      <c r="C127" s="3">
        <v>180.46</v>
      </c>
      <c r="D127" s="3">
        <v>181.93</v>
      </c>
      <c r="E127" s="3">
        <v>179.77</v>
      </c>
      <c r="F127" s="3">
        <v>181.39</v>
      </c>
      <c r="G127" s="3">
        <v>180.14</v>
      </c>
      <c r="H127" s="4">
        <v>667900</v>
      </c>
    </row>
    <row r="128" spans="2:8" ht="19" x14ac:dyDescent="0.25">
      <c r="B128" s="2">
        <v>45825</v>
      </c>
      <c r="C128" s="3">
        <v>179.86</v>
      </c>
      <c r="D128" s="3">
        <v>180.8</v>
      </c>
      <c r="E128" s="3">
        <v>178.58</v>
      </c>
      <c r="F128" s="3">
        <v>180.33</v>
      </c>
      <c r="G128" s="3">
        <v>179.09</v>
      </c>
      <c r="H128" s="4">
        <v>530800</v>
      </c>
    </row>
    <row r="129" spans="2:8" ht="19" x14ac:dyDescent="0.25">
      <c r="B129" s="2">
        <v>45824</v>
      </c>
      <c r="C129" s="3">
        <v>179.19</v>
      </c>
      <c r="D129" s="3">
        <v>181.2</v>
      </c>
      <c r="E129" s="3">
        <v>179.1</v>
      </c>
      <c r="F129" s="3">
        <v>180.64</v>
      </c>
      <c r="G129" s="3">
        <v>179.39</v>
      </c>
      <c r="H129" s="4">
        <v>620300</v>
      </c>
    </row>
    <row r="130" spans="2:8" ht="19" x14ac:dyDescent="0.25">
      <c r="B130" s="2">
        <v>45821</v>
      </c>
      <c r="C130" s="3">
        <v>179.25</v>
      </c>
      <c r="D130" s="3">
        <v>180.45</v>
      </c>
      <c r="E130" s="3">
        <v>178.38</v>
      </c>
      <c r="F130" s="3">
        <v>179.1</v>
      </c>
      <c r="G130" s="3">
        <v>177.86</v>
      </c>
      <c r="H130" s="4">
        <v>483000</v>
      </c>
    </row>
    <row r="131" spans="2:8" ht="19" x14ac:dyDescent="0.25">
      <c r="B131" s="2">
        <v>45820</v>
      </c>
      <c r="C131" s="3">
        <v>179.96</v>
      </c>
      <c r="D131" s="3">
        <v>180.23</v>
      </c>
      <c r="E131" s="3">
        <v>178.72</v>
      </c>
      <c r="F131" s="3">
        <v>180.18</v>
      </c>
      <c r="G131" s="3">
        <v>178.94</v>
      </c>
      <c r="H131" s="4">
        <v>354500</v>
      </c>
    </row>
    <row r="132" spans="2:8" ht="19" x14ac:dyDescent="0.25">
      <c r="B132" s="2">
        <v>45819</v>
      </c>
      <c r="C132" s="3">
        <v>179.7</v>
      </c>
      <c r="D132" s="3">
        <v>180.61</v>
      </c>
      <c r="E132" s="3">
        <v>178.42</v>
      </c>
      <c r="F132" s="3">
        <v>179.8</v>
      </c>
      <c r="G132" s="3">
        <v>178.56</v>
      </c>
      <c r="H132" s="4">
        <v>368200</v>
      </c>
    </row>
    <row r="133" spans="2:8" ht="19" x14ac:dyDescent="0.25">
      <c r="B133" s="2">
        <v>45818</v>
      </c>
      <c r="C133" s="3">
        <v>179.66</v>
      </c>
      <c r="D133" s="3">
        <v>180.71</v>
      </c>
      <c r="E133" s="3">
        <v>177.36</v>
      </c>
      <c r="F133" s="3">
        <v>179.51</v>
      </c>
      <c r="G133" s="3">
        <v>178.27</v>
      </c>
      <c r="H133" s="4">
        <v>692500</v>
      </c>
    </row>
    <row r="134" spans="2:8" ht="19" x14ac:dyDescent="0.25">
      <c r="B134" s="2">
        <v>45817</v>
      </c>
      <c r="C134" s="3">
        <v>181.48</v>
      </c>
      <c r="D134" s="3">
        <v>181.48</v>
      </c>
      <c r="E134" s="3">
        <v>177.7</v>
      </c>
      <c r="F134" s="3">
        <v>179.96</v>
      </c>
      <c r="G134" s="3">
        <v>178.72</v>
      </c>
      <c r="H134" s="4">
        <v>389600</v>
      </c>
    </row>
    <row r="135" spans="2:8" ht="19" x14ac:dyDescent="0.25">
      <c r="B135" s="2">
        <v>45814</v>
      </c>
      <c r="C135" s="3">
        <v>182.23</v>
      </c>
      <c r="D135" s="3">
        <v>183.34</v>
      </c>
      <c r="E135" s="3">
        <v>180.4</v>
      </c>
      <c r="F135" s="3">
        <v>181.84</v>
      </c>
      <c r="G135" s="3">
        <v>180.59</v>
      </c>
      <c r="H135" s="4">
        <v>277400</v>
      </c>
    </row>
    <row r="136" spans="2:8" ht="19" x14ac:dyDescent="0.25">
      <c r="B136" s="2">
        <v>45813</v>
      </c>
      <c r="C136" s="3">
        <v>182</v>
      </c>
      <c r="D136" s="3">
        <v>182.09</v>
      </c>
      <c r="E136" s="3">
        <v>180.44</v>
      </c>
      <c r="F136" s="3">
        <v>181.01</v>
      </c>
      <c r="G136" s="3">
        <v>179.76</v>
      </c>
      <c r="H136" s="4">
        <v>395900</v>
      </c>
    </row>
    <row r="137" spans="2:8" ht="19" x14ac:dyDescent="0.25">
      <c r="B137" s="2">
        <v>45812</v>
      </c>
      <c r="C137" s="3">
        <v>180.83</v>
      </c>
      <c r="D137" s="3">
        <v>182.81</v>
      </c>
      <c r="E137" s="3">
        <v>180.15</v>
      </c>
      <c r="F137" s="3">
        <v>181.51</v>
      </c>
      <c r="G137" s="3">
        <v>180.26</v>
      </c>
      <c r="H137" s="4">
        <v>521100</v>
      </c>
    </row>
    <row r="138" spans="2:8" ht="19" x14ac:dyDescent="0.25">
      <c r="B138" s="2">
        <v>45811</v>
      </c>
      <c r="C138" s="3">
        <v>179.4</v>
      </c>
      <c r="D138" s="3">
        <v>180.53</v>
      </c>
      <c r="E138" s="3">
        <v>177.88</v>
      </c>
      <c r="F138" s="3">
        <v>180.21</v>
      </c>
      <c r="G138" s="3">
        <v>178.97</v>
      </c>
      <c r="H138" s="4">
        <v>450200</v>
      </c>
    </row>
    <row r="139" spans="2:8" ht="19" x14ac:dyDescent="0.25">
      <c r="B139" s="2">
        <v>45810</v>
      </c>
      <c r="C139" s="3">
        <v>179.99</v>
      </c>
      <c r="D139" s="3">
        <v>180.48</v>
      </c>
      <c r="E139" s="3">
        <v>177.96</v>
      </c>
      <c r="F139" s="3">
        <v>180.37</v>
      </c>
      <c r="G139" s="3">
        <v>179.13</v>
      </c>
      <c r="H139" s="4">
        <v>426800</v>
      </c>
    </row>
    <row r="140" spans="2:8" ht="19" x14ac:dyDescent="0.25">
      <c r="B140" s="2">
        <v>45807</v>
      </c>
      <c r="C140" s="3">
        <v>180.14</v>
      </c>
      <c r="D140" s="3">
        <v>181.37</v>
      </c>
      <c r="E140" s="3">
        <v>179.38</v>
      </c>
      <c r="F140" s="3">
        <v>181.17</v>
      </c>
      <c r="G140" s="3">
        <v>179.92</v>
      </c>
      <c r="H140" s="4">
        <v>875800</v>
      </c>
    </row>
    <row r="141" spans="2:8" ht="19" x14ac:dyDescent="0.25">
      <c r="B141" s="2">
        <v>45806</v>
      </c>
      <c r="C141" s="3">
        <v>181.07</v>
      </c>
      <c r="D141" s="3">
        <v>181.07</v>
      </c>
      <c r="E141" s="3">
        <v>177.88</v>
      </c>
      <c r="F141" s="3">
        <v>180.08</v>
      </c>
      <c r="G141" s="3">
        <v>178.84</v>
      </c>
      <c r="H141" s="4">
        <v>868500</v>
      </c>
    </row>
    <row r="142" spans="2:8" ht="19" x14ac:dyDescent="0.25">
      <c r="B142" s="2">
        <v>45805</v>
      </c>
      <c r="C142" s="3">
        <v>184.5</v>
      </c>
      <c r="D142" s="3">
        <v>185.19</v>
      </c>
      <c r="E142" s="3">
        <v>181.91</v>
      </c>
      <c r="F142" s="3">
        <v>182.1</v>
      </c>
      <c r="G142" s="3">
        <v>180.27</v>
      </c>
      <c r="H142" s="4">
        <v>573100</v>
      </c>
    </row>
    <row r="143" spans="2:8" ht="19" x14ac:dyDescent="0.25">
      <c r="B143" s="2">
        <v>45804</v>
      </c>
      <c r="C143" s="3">
        <v>182.97</v>
      </c>
      <c r="D143" s="3">
        <v>184.59</v>
      </c>
      <c r="E143" s="3">
        <v>181.88</v>
      </c>
      <c r="F143" s="3">
        <v>184.59</v>
      </c>
      <c r="G143" s="3">
        <v>182.73</v>
      </c>
      <c r="H143" s="4">
        <v>825800</v>
      </c>
    </row>
    <row r="144" spans="2:8" ht="19" x14ac:dyDescent="0.25">
      <c r="B144" s="2">
        <v>45800</v>
      </c>
      <c r="C144" s="3">
        <v>181.83</v>
      </c>
      <c r="D144" s="3">
        <v>182.93</v>
      </c>
      <c r="E144" s="3">
        <v>180.57</v>
      </c>
      <c r="F144" s="3">
        <v>182</v>
      </c>
      <c r="G144" s="3">
        <v>180.17</v>
      </c>
      <c r="H144" s="4">
        <v>522900</v>
      </c>
    </row>
    <row r="145" spans="2:8" ht="19" x14ac:dyDescent="0.25">
      <c r="B145" s="2">
        <v>45799</v>
      </c>
      <c r="C145" s="3">
        <v>182.77</v>
      </c>
      <c r="D145" s="3">
        <v>183.05</v>
      </c>
      <c r="E145" s="3">
        <v>181.18</v>
      </c>
      <c r="F145" s="3">
        <v>181.84</v>
      </c>
      <c r="G145" s="3">
        <v>180.01</v>
      </c>
      <c r="H145" s="4">
        <v>534200</v>
      </c>
    </row>
    <row r="146" spans="2:8" ht="19" x14ac:dyDescent="0.25">
      <c r="B146" s="2">
        <v>45798</v>
      </c>
      <c r="C146" s="3">
        <v>184.91</v>
      </c>
      <c r="D146" s="3">
        <v>186.52</v>
      </c>
      <c r="E146" s="3">
        <v>182.71</v>
      </c>
      <c r="F146" s="3">
        <v>182.98</v>
      </c>
      <c r="G146" s="3">
        <v>181.14</v>
      </c>
      <c r="H146" s="4">
        <v>662300</v>
      </c>
    </row>
    <row r="147" spans="2:8" ht="19" x14ac:dyDescent="0.25">
      <c r="B147" s="2">
        <v>45797</v>
      </c>
      <c r="C147" s="3">
        <v>184.44</v>
      </c>
      <c r="D147" s="3">
        <v>186.15</v>
      </c>
      <c r="E147" s="3">
        <v>183.2</v>
      </c>
      <c r="F147" s="3">
        <v>186.02</v>
      </c>
      <c r="G147" s="3">
        <v>184.15</v>
      </c>
      <c r="H147" s="4">
        <v>805700</v>
      </c>
    </row>
    <row r="148" spans="2:8" ht="19" x14ac:dyDescent="0.25">
      <c r="B148" s="2">
        <v>45796</v>
      </c>
      <c r="C148" s="3">
        <v>182.19</v>
      </c>
      <c r="D148" s="3">
        <v>184.88</v>
      </c>
      <c r="E148" s="3">
        <v>180.3</v>
      </c>
      <c r="F148" s="3">
        <v>184.29</v>
      </c>
      <c r="G148" s="3">
        <v>182.44</v>
      </c>
      <c r="H148" s="4">
        <v>477800</v>
      </c>
    </row>
    <row r="149" spans="2:8" ht="19" x14ac:dyDescent="0.25">
      <c r="B149" s="2">
        <v>45793</v>
      </c>
      <c r="C149" s="3">
        <v>181.1</v>
      </c>
      <c r="D149" s="3">
        <v>182.77</v>
      </c>
      <c r="E149" s="3">
        <v>180.58</v>
      </c>
      <c r="F149" s="3">
        <v>182.67</v>
      </c>
      <c r="G149" s="3">
        <v>180.83</v>
      </c>
      <c r="H149" s="4">
        <v>650600</v>
      </c>
    </row>
    <row r="150" spans="2:8" ht="19" x14ac:dyDescent="0.25">
      <c r="B150" s="2">
        <v>45792</v>
      </c>
      <c r="C150" s="3">
        <v>178.23</v>
      </c>
      <c r="D150" s="3">
        <v>180.86</v>
      </c>
      <c r="E150" s="3">
        <v>177.46</v>
      </c>
      <c r="F150" s="3">
        <v>180.63</v>
      </c>
      <c r="G150" s="3">
        <v>178.81</v>
      </c>
      <c r="H150" s="4">
        <v>754900</v>
      </c>
    </row>
    <row r="151" spans="2:8" ht="19" x14ac:dyDescent="0.25">
      <c r="B151" s="2">
        <v>45791</v>
      </c>
      <c r="C151" s="3">
        <v>178.34</v>
      </c>
      <c r="D151" s="3">
        <v>178.88</v>
      </c>
      <c r="E151" s="3">
        <v>176.41</v>
      </c>
      <c r="F151" s="3">
        <v>177.91</v>
      </c>
      <c r="G151" s="3">
        <v>176.12</v>
      </c>
      <c r="H151" s="4">
        <v>613600</v>
      </c>
    </row>
    <row r="152" spans="2:8" ht="19" x14ac:dyDescent="0.25">
      <c r="B152" s="2">
        <v>45790</v>
      </c>
      <c r="C152" s="3">
        <v>181.71</v>
      </c>
      <c r="D152" s="3">
        <v>182.08</v>
      </c>
      <c r="E152" s="3">
        <v>178.07</v>
      </c>
      <c r="F152" s="3">
        <v>178.34</v>
      </c>
      <c r="G152" s="3">
        <v>176.55</v>
      </c>
      <c r="H152" s="4">
        <v>613300</v>
      </c>
    </row>
    <row r="153" spans="2:8" ht="19" x14ac:dyDescent="0.25">
      <c r="B153" s="2">
        <v>45789</v>
      </c>
      <c r="C153" s="3">
        <v>181.6</v>
      </c>
      <c r="D153" s="3">
        <v>182.05</v>
      </c>
      <c r="E153" s="3">
        <v>179.7</v>
      </c>
      <c r="F153" s="3">
        <v>181.66</v>
      </c>
      <c r="G153" s="3">
        <v>179.83</v>
      </c>
      <c r="H153" s="4">
        <v>652400</v>
      </c>
    </row>
    <row r="154" spans="2:8" ht="19" x14ac:dyDescent="0.25">
      <c r="B154" s="2">
        <v>45786</v>
      </c>
      <c r="C154" s="3">
        <v>179.2</v>
      </c>
      <c r="D154" s="3">
        <v>181.6</v>
      </c>
      <c r="E154" s="3">
        <v>178.77</v>
      </c>
      <c r="F154" s="3">
        <v>180.96</v>
      </c>
      <c r="G154" s="3">
        <v>179.14</v>
      </c>
      <c r="H154" s="4">
        <v>631300</v>
      </c>
    </row>
    <row r="155" spans="2:8" ht="19" x14ac:dyDescent="0.25">
      <c r="B155" s="2">
        <v>45785</v>
      </c>
      <c r="C155" s="3">
        <v>172.29</v>
      </c>
      <c r="D155" s="3">
        <v>179.42</v>
      </c>
      <c r="E155" s="3">
        <v>172.25</v>
      </c>
      <c r="F155" s="3">
        <v>179.42</v>
      </c>
      <c r="G155" s="3">
        <v>177.61</v>
      </c>
      <c r="H155" s="4">
        <v>1143000</v>
      </c>
    </row>
    <row r="156" spans="2:8" ht="19" x14ac:dyDescent="0.25">
      <c r="B156" s="2">
        <v>45784</v>
      </c>
      <c r="C156" s="3">
        <v>164.18</v>
      </c>
      <c r="D156" s="3">
        <v>173.18</v>
      </c>
      <c r="E156" s="3">
        <v>164.18</v>
      </c>
      <c r="F156" s="3">
        <v>171.65</v>
      </c>
      <c r="G156" s="3">
        <v>169.92</v>
      </c>
      <c r="H156" s="4">
        <v>1761400</v>
      </c>
    </row>
    <row r="157" spans="2:8" ht="19" x14ac:dyDescent="0.25">
      <c r="B157" s="2">
        <v>45783</v>
      </c>
      <c r="C157" s="3">
        <v>171.36</v>
      </c>
      <c r="D157" s="3">
        <v>172.57</v>
      </c>
      <c r="E157" s="3">
        <v>169.31</v>
      </c>
      <c r="F157" s="3">
        <v>172.02</v>
      </c>
      <c r="G157" s="3">
        <v>170.29</v>
      </c>
      <c r="H157" s="4">
        <v>918600</v>
      </c>
    </row>
    <row r="158" spans="2:8" ht="19" x14ac:dyDescent="0.25">
      <c r="B158" s="2">
        <v>45782</v>
      </c>
      <c r="C158" s="3">
        <v>173.48</v>
      </c>
      <c r="D158" s="3">
        <v>173.71</v>
      </c>
      <c r="E158" s="3">
        <v>171.93</v>
      </c>
      <c r="F158" s="3">
        <v>172.27</v>
      </c>
      <c r="G158" s="3">
        <v>170.54</v>
      </c>
      <c r="H158" s="4">
        <v>578300</v>
      </c>
    </row>
    <row r="159" spans="2:8" ht="19" x14ac:dyDescent="0.25">
      <c r="B159" s="2">
        <v>45779</v>
      </c>
      <c r="C159" s="3">
        <v>175.66</v>
      </c>
      <c r="D159" s="3">
        <v>177.67</v>
      </c>
      <c r="E159" s="3">
        <v>174.02</v>
      </c>
      <c r="F159" s="3">
        <v>174.15</v>
      </c>
      <c r="G159" s="3">
        <v>172.4</v>
      </c>
      <c r="H159" s="4">
        <v>671600</v>
      </c>
    </row>
    <row r="160" spans="2:8" ht="19" x14ac:dyDescent="0.25">
      <c r="B160" s="2">
        <v>45778</v>
      </c>
      <c r="C160" s="3">
        <v>173.16</v>
      </c>
      <c r="D160" s="3">
        <v>174.84</v>
      </c>
      <c r="E160" s="3">
        <v>171.64</v>
      </c>
      <c r="F160" s="3">
        <v>173.89</v>
      </c>
      <c r="G160" s="3">
        <v>172.14</v>
      </c>
      <c r="H160" s="4">
        <v>878800</v>
      </c>
    </row>
    <row r="161" spans="2:8" ht="19" x14ac:dyDescent="0.25">
      <c r="B161" s="2">
        <v>45777</v>
      </c>
      <c r="C161" s="3">
        <v>172.89</v>
      </c>
      <c r="D161" s="3">
        <v>173.5</v>
      </c>
      <c r="E161" s="3">
        <v>168.71</v>
      </c>
      <c r="F161" s="3">
        <v>173.43</v>
      </c>
      <c r="G161" s="3">
        <v>171.68</v>
      </c>
      <c r="H161" s="4">
        <v>914100</v>
      </c>
    </row>
    <row r="162" spans="2:8" ht="19" x14ac:dyDescent="0.25">
      <c r="B162" s="2">
        <v>45776</v>
      </c>
      <c r="C162" s="3">
        <v>170.08</v>
      </c>
      <c r="D162" s="3">
        <v>173.51</v>
      </c>
      <c r="E162" s="3">
        <v>169.39</v>
      </c>
      <c r="F162" s="3">
        <v>173.51</v>
      </c>
      <c r="G162" s="3">
        <v>171.76</v>
      </c>
      <c r="H162" s="4">
        <v>659700</v>
      </c>
    </row>
    <row r="163" spans="2:8" ht="19" x14ac:dyDescent="0.25">
      <c r="B163" s="2">
        <v>45775</v>
      </c>
      <c r="C163" s="3">
        <v>171.01</v>
      </c>
      <c r="D163" s="3">
        <v>172.48</v>
      </c>
      <c r="E163" s="3">
        <v>169.57</v>
      </c>
      <c r="F163" s="3">
        <v>170.05</v>
      </c>
      <c r="G163" s="3">
        <v>168.34</v>
      </c>
      <c r="H163" s="4">
        <v>541300</v>
      </c>
    </row>
    <row r="164" spans="2:8" ht="19" x14ac:dyDescent="0.25">
      <c r="B164" s="2">
        <v>45772</v>
      </c>
      <c r="C164" s="3">
        <v>171.43</v>
      </c>
      <c r="D164" s="3">
        <v>173</v>
      </c>
      <c r="E164" s="3">
        <v>169.5</v>
      </c>
      <c r="F164" s="3">
        <v>170.93</v>
      </c>
      <c r="G164" s="3">
        <v>169.21</v>
      </c>
      <c r="H164" s="4">
        <v>429600</v>
      </c>
    </row>
    <row r="165" spans="2:8" ht="19" x14ac:dyDescent="0.25">
      <c r="B165" s="2">
        <v>45771</v>
      </c>
      <c r="C165" s="3">
        <v>172.74</v>
      </c>
      <c r="D165" s="3">
        <v>173.63</v>
      </c>
      <c r="E165" s="3">
        <v>171.11</v>
      </c>
      <c r="F165" s="3">
        <v>172.54</v>
      </c>
      <c r="G165" s="3">
        <v>170.8</v>
      </c>
      <c r="H165" s="4">
        <v>475900</v>
      </c>
    </row>
    <row r="166" spans="2:8" ht="19" x14ac:dyDescent="0.25">
      <c r="B166" s="2">
        <v>45770</v>
      </c>
      <c r="C166" s="3">
        <v>173</v>
      </c>
      <c r="D166" s="3">
        <v>174.86</v>
      </c>
      <c r="E166" s="3">
        <v>172.1</v>
      </c>
      <c r="F166" s="3">
        <v>173.21</v>
      </c>
      <c r="G166" s="3">
        <v>171.47</v>
      </c>
      <c r="H166" s="4">
        <v>505200</v>
      </c>
    </row>
    <row r="167" spans="2:8" ht="19" x14ac:dyDescent="0.25">
      <c r="B167" s="2">
        <v>45769</v>
      </c>
      <c r="C167" s="3">
        <v>170.05</v>
      </c>
      <c r="D167" s="3">
        <v>172.92</v>
      </c>
      <c r="E167" s="3">
        <v>168.45</v>
      </c>
      <c r="F167" s="3">
        <v>172.68</v>
      </c>
      <c r="G167" s="3">
        <v>170.94</v>
      </c>
      <c r="H167" s="4">
        <v>544500</v>
      </c>
    </row>
    <row r="168" spans="2:8" ht="19" x14ac:dyDescent="0.25">
      <c r="B168" s="2">
        <v>45768</v>
      </c>
      <c r="C168" s="3">
        <v>171.83</v>
      </c>
      <c r="D168" s="3">
        <v>172.4</v>
      </c>
      <c r="E168" s="3">
        <v>167.22</v>
      </c>
      <c r="F168" s="3">
        <v>168.72</v>
      </c>
      <c r="G168" s="3">
        <v>167.02</v>
      </c>
      <c r="H168" s="4">
        <v>543500</v>
      </c>
    </row>
    <row r="169" spans="2:8" ht="19" x14ac:dyDescent="0.25">
      <c r="B169" s="2">
        <v>45764</v>
      </c>
      <c r="C169" s="3">
        <v>173.26</v>
      </c>
      <c r="D169" s="3">
        <v>173.7</v>
      </c>
      <c r="E169" s="3">
        <v>170.35</v>
      </c>
      <c r="F169" s="3">
        <v>171.83</v>
      </c>
      <c r="G169" s="3">
        <v>170.1</v>
      </c>
      <c r="H169" s="4">
        <v>400900</v>
      </c>
    </row>
    <row r="170" spans="2:8" ht="19" x14ac:dyDescent="0.25">
      <c r="B170" s="2">
        <v>45763</v>
      </c>
      <c r="C170" s="3">
        <v>174.31</v>
      </c>
      <c r="D170" s="3">
        <v>174.85</v>
      </c>
      <c r="E170" s="3">
        <v>170.76</v>
      </c>
      <c r="F170" s="3">
        <v>171.88</v>
      </c>
      <c r="G170" s="3">
        <v>170.15</v>
      </c>
      <c r="H170" s="4">
        <v>487700</v>
      </c>
    </row>
    <row r="171" spans="2:8" ht="19" x14ac:dyDescent="0.25">
      <c r="B171" s="2">
        <v>45762</v>
      </c>
      <c r="C171" s="3">
        <v>174.66</v>
      </c>
      <c r="D171" s="3">
        <v>175.49</v>
      </c>
      <c r="E171" s="3">
        <v>173.18</v>
      </c>
      <c r="F171" s="3">
        <v>173.95</v>
      </c>
      <c r="G171" s="3">
        <v>172.2</v>
      </c>
      <c r="H171" s="4">
        <v>415500</v>
      </c>
    </row>
    <row r="172" spans="2:8" ht="19" x14ac:dyDescent="0.25">
      <c r="B172" s="2">
        <v>45761</v>
      </c>
      <c r="C172" s="3">
        <v>173.1</v>
      </c>
      <c r="D172" s="3">
        <v>175.79</v>
      </c>
      <c r="E172" s="3">
        <v>172.84</v>
      </c>
      <c r="F172" s="3">
        <v>173.85</v>
      </c>
      <c r="G172" s="3">
        <v>172.1</v>
      </c>
      <c r="H172" s="4">
        <v>517600</v>
      </c>
    </row>
    <row r="173" spans="2:8" ht="19" x14ac:dyDescent="0.25">
      <c r="B173" s="2">
        <v>45758</v>
      </c>
      <c r="C173" s="3">
        <v>170.88</v>
      </c>
      <c r="D173" s="3">
        <v>174.05</v>
      </c>
      <c r="E173" s="3">
        <v>165.68</v>
      </c>
      <c r="F173" s="3">
        <v>172.77</v>
      </c>
      <c r="G173" s="3">
        <v>171.03</v>
      </c>
      <c r="H173" s="4">
        <v>547900</v>
      </c>
    </row>
    <row r="174" spans="2:8" ht="19" x14ac:dyDescent="0.25">
      <c r="B174" s="2">
        <v>45757</v>
      </c>
      <c r="C174" s="3">
        <v>169.79</v>
      </c>
      <c r="D174" s="3">
        <v>172.75</v>
      </c>
      <c r="E174" s="3">
        <v>166.62</v>
      </c>
      <c r="F174" s="3">
        <v>170.14</v>
      </c>
      <c r="G174" s="3">
        <v>168.43</v>
      </c>
      <c r="H174" s="4">
        <v>761100</v>
      </c>
    </row>
    <row r="175" spans="2:8" ht="19" x14ac:dyDescent="0.25">
      <c r="B175" s="2">
        <v>45756</v>
      </c>
      <c r="C175" s="3">
        <v>162.91999999999999</v>
      </c>
      <c r="D175" s="3">
        <v>171.59</v>
      </c>
      <c r="E175" s="3">
        <v>161.13</v>
      </c>
      <c r="F175" s="3">
        <v>170.71</v>
      </c>
      <c r="G175" s="3">
        <v>168.99</v>
      </c>
      <c r="H175" s="4">
        <v>993000</v>
      </c>
    </row>
    <row r="176" spans="2:8" ht="19" x14ac:dyDescent="0.25">
      <c r="B176" s="2">
        <v>45755</v>
      </c>
      <c r="C176" s="3">
        <v>170.85</v>
      </c>
      <c r="D176" s="3">
        <v>170.96</v>
      </c>
      <c r="E176" s="3">
        <v>161.74</v>
      </c>
      <c r="F176" s="3">
        <v>163.54</v>
      </c>
      <c r="G176" s="3">
        <v>161.88999999999999</v>
      </c>
      <c r="H176" s="4">
        <v>777800</v>
      </c>
    </row>
    <row r="177" spans="2:8" ht="19" x14ac:dyDescent="0.25">
      <c r="B177" s="2">
        <v>45754</v>
      </c>
      <c r="C177" s="3">
        <v>169.83</v>
      </c>
      <c r="D177" s="3">
        <v>174.6</v>
      </c>
      <c r="E177" s="3">
        <v>163.63999999999999</v>
      </c>
      <c r="F177" s="3">
        <v>169.36</v>
      </c>
      <c r="G177" s="3">
        <v>167.66</v>
      </c>
      <c r="H177" s="4">
        <v>1130100</v>
      </c>
    </row>
    <row r="178" spans="2:8" ht="19" x14ac:dyDescent="0.25">
      <c r="B178" s="2">
        <v>45751</v>
      </c>
      <c r="C178" s="3">
        <v>183.61</v>
      </c>
      <c r="D178" s="3">
        <v>185.94</v>
      </c>
      <c r="E178" s="3">
        <v>172.36</v>
      </c>
      <c r="F178" s="3">
        <v>172.62</v>
      </c>
      <c r="G178" s="3">
        <v>170.88</v>
      </c>
      <c r="H178" s="4">
        <v>879700</v>
      </c>
    </row>
    <row r="179" spans="2:8" ht="19" x14ac:dyDescent="0.25">
      <c r="B179" s="2">
        <v>45750</v>
      </c>
      <c r="C179" s="3">
        <v>184.08</v>
      </c>
      <c r="D179" s="3">
        <v>189.21</v>
      </c>
      <c r="E179" s="3">
        <v>182.54</v>
      </c>
      <c r="F179" s="3">
        <v>184.6</v>
      </c>
      <c r="G179" s="3">
        <v>182.74</v>
      </c>
      <c r="H179" s="4">
        <v>648300</v>
      </c>
    </row>
    <row r="180" spans="2:8" ht="19" x14ac:dyDescent="0.25">
      <c r="B180" s="2">
        <v>45749</v>
      </c>
      <c r="C180" s="3">
        <v>185</v>
      </c>
      <c r="D180" s="3">
        <v>185.01</v>
      </c>
      <c r="E180" s="3">
        <v>182.19</v>
      </c>
      <c r="F180" s="3">
        <v>184.11</v>
      </c>
      <c r="G180" s="3">
        <v>182.26</v>
      </c>
      <c r="H180" s="4">
        <v>585100</v>
      </c>
    </row>
    <row r="181" spans="2:8" ht="19" x14ac:dyDescent="0.25">
      <c r="B181" s="2">
        <v>45748</v>
      </c>
      <c r="C181" s="3">
        <v>182.26</v>
      </c>
      <c r="D181" s="3">
        <v>184.92</v>
      </c>
      <c r="E181" s="3">
        <v>180.69</v>
      </c>
      <c r="F181" s="3">
        <v>184.02</v>
      </c>
      <c r="G181" s="3">
        <v>182.17</v>
      </c>
      <c r="H181" s="4">
        <v>740800</v>
      </c>
    </row>
    <row r="182" spans="2:8" ht="19" x14ac:dyDescent="0.25">
      <c r="B182" s="2">
        <v>45747</v>
      </c>
      <c r="C182" s="3">
        <v>178.86</v>
      </c>
      <c r="D182" s="3">
        <v>183.61</v>
      </c>
      <c r="E182" s="3">
        <v>177.74</v>
      </c>
      <c r="F182" s="3">
        <v>182.6</v>
      </c>
      <c r="G182" s="3">
        <v>180.76</v>
      </c>
      <c r="H182" s="4">
        <v>810100</v>
      </c>
    </row>
    <row r="183" spans="2:8" ht="19" x14ac:dyDescent="0.25">
      <c r="B183" s="2">
        <v>45744</v>
      </c>
      <c r="C183" s="3">
        <v>180.29</v>
      </c>
      <c r="D183" s="3">
        <v>180.9</v>
      </c>
      <c r="E183" s="3">
        <v>177.9</v>
      </c>
      <c r="F183" s="3">
        <v>178.59</v>
      </c>
      <c r="G183" s="3">
        <v>176.79</v>
      </c>
      <c r="H183" s="4">
        <v>327600</v>
      </c>
    </row>
    <row r="184" spans="2:8" ht="19" x14ac:dyDescent="0.25">
      <c r="B184" s="2">
        <v>45743</v>
      </c>
      <c r="C184" s="3">
        <v>179.73</v>
      </c>
      <c r="D184" s="3">
        <v>181.07</v>
      </c>
      <c r="E184" s="3">
        <v>179.12</v>
      </c>
      <c r="F184" s="3">
        <v>179.32</v>
      </c>
      <c r="G184" s="3">
        <v>177.52</v>
      </c>
      <c r="H184" s="4">
        <v>373200</v>
      </c>
    </row>
    <row r="185" spans="2:8" ht="19" x14ac:dyDescent="0.25">
      <c r="B185" s="2">
        <v>45742</v>
      </c>
      <c r="C185" s="3">
        <v>175.21</v>
      </c>
      <c r="D185" s="3">
        <v>179.74</v>
      </c>
      <c r="E185" s="3">
        <v>174.84</v>
      </c>
      <c r="F185" s="3">
        <v>179.39</v>
      </c>
      <c r="G185" s="3">
        <v>177.58</v>
      </c>
      <c r="H185" s="4">
        <v>499900</v>
      </c>
    </row>
    <row r="186" spans="2:8" ht="19" x14ac:dyDescent="0.25">
      <c r="B186" s="2">
        <v>45741</v>
      </c>
      <c r="C186" s="3">
        <v>173.14</v>
      </c>
      <c r="D186" s="3">
        <v>175.15</v>
      </c>
      <c r="E186" s="3">
        <v>171.61</v>
      </c>
      <c r="F186" s="3">
        <v>174.78</v>
      </c>
      <c r="G186" s="3">
        <v>173.02</v>
      </c>
      <c r="H186" s="4">
        <v>550800</v>
      </c>
    </row>
    <row r="187" spans="2:8" ht="19" x14ac:dyDescent="0.25">
      <c r="B187" s="2">
        <v>45740</v>
      </c>
      <c r="C187" s="3">
        <v>173.81</v>
      </c>
      <c r="D187" s="3">
        <v>176.09</v>
      </c>
      <c r="E187" s="3">
        <v>172.46</v>
      </c>
      <c r="F187" s="3">
        <v>172.82</v>
      </c>
      <c r="G187" s="3">
        <v>171.08</v>
      </c>
      <c r="H187" s="4">
        <v>532500</v>
      </c>
    </row>
    <row r="188" spans="2:8" ht="19" x14ac:dyDescent="0.25">
      <c r="B188" s="2">
        <v>45737</v>
      </c>
      <c r="C188" s="3">
        <v>174.94</v>
      </c>
      <c r="D188" s="3">
        <v>175.58</v>
      </c>
      <c r="E188" s="3">
        <v>171.41</v>
      </c>
      <c r="F188" s="3">
        <v>173.05</v>
      </c>
      <c r="G188" s="3">
        <v>171.31</v>
      </c>
      <c r="H188" s="4">
        <v>935700</v>
      </c>
    </row>
    <row r="189" spans="2:8" ht="19" x14ac:dyDescent="0.25">
      <c r="B189" s="2">
        <v>45736</v>
      </c>
      <c r="C189" s="3">
        <v>176.81</v>
      </c>
      <c r="D189" s="3">
        <v>176.81</v>
      </c>
      <c r="E189" s="3">
        <v>174.02</v>
      </c>
      <c r="F189" s="3">
        <v>175.3</v>
      </c>
      <c r="G189" s="3">
        <v>173.54</v>
      </c>
      <c r="H189" s="4">
        <v>493900</v>
      </c>
    </row>
    <row r="190" spans="2:8" ht="19" x14ac:dyDescent="0.25">
      <c r="B190" s="2">
        <v>45735</v>
      </c>
      <c r="C190" s="3">
        <v>175.84</v>
      </c>
      <c r="D190" s="3">
        <v>178.35</v>
      </c>
      <c r="E190" s="3">
        <v>175.81</v>
      </c>
      <c r="F190" s="3">
        <v>177.17</v>
      </c>
      <c r="G190" s="3">
        <v>175.39</v>
      </c>
      <c r="H190" s="4">
        <v>457300</v>
      </c>
    </row>
    <row r="191" spans="2:8" ht="19" x14ac:dyDescent="0.25">
      <c r="B191" s="2">
        <v>45734</v>
      </c>
      <c r="C191" s="3">
        <v>176.68</v>
      </c>
      <c r="D191" s="3">
        <v>177.7</v>
      </c>
      <c r="E191" s="3">
        <v>175.62</v>
      </c>
      <c r="F191" s="3">
        <v>176.7</v>
      </c>
      <c r="G191" s="3">
        <v>174.92</v>
      </c>
      <c r="H191" s="4">
        <v>547200</v>
      </c>
    </row>
    <row r="192" spans="2:8" ht="19" x14ac:dyDescent="0.25">
      <c r="B192" s="2">
        <v>45733</v>
      </c>
      <c r="C192" s="3">
        <v>175.27</v>
      </c>
      <c r="D192" s="3">
        <v>178.18</v>
      </c>
      <c r="E192" s="3">
        <v>174.83</v>
      </c>
      <c r="F192" s="3">
        <v>177.19</v>
      </c>
      <c r="G192" s="3">
        <v>175.41</v>
      </c>
      <c r="H192" s="4">
        <v>676800</v>
      </c>
    </row>
    <row r="193" spans="2:8" ht="19" x14ac:dyDescent="0.25">
      <c r="B193" s="2">
        <v>45730</v>
      </c>
      <c r="C193" s="3">
        <v>175.8</v>
      </c>
      <c r="D193" s="3">
        <v>177.49</v>
      </c>
      <c r="E193" s="3">
        <v>174.42</v>
      </c>
      <c r="F193" s="3">
        <v>175.83</v>
      </c>
      <c r="G193" s="3">
        <v>174.06</v>
      </c>
      <c r="H193" s="4">
        <v>613600</v>
      </c>
    </row>
    <row r="194" spans="2:8" ht="19" x14ac:dyDescent="0.25">
      <c r="B194" s="2">
        <v>45729</v>
      </c>
      <c r="C194" s="3">
        <v>173.28</v>
      </c>
      <c r="D194" s="3">
        <v>177.64</v>
      </c>
      <c r="E194" s="3">
        <v>173.28</v>
      </c>
      <c r="F194" s="3">
        <v>175.32</v>
      </c>
      <c r="G194" s="3">
        <v>173.56</v>
      </c>
      <c r="H194" s="4">
        <v>600900</v>
      </c>
    </row>
    <row r="195" spans="2:8" ht="19" x14ac:dyDescent="0.25">
      <c r="B195" s="2">
        <v>45728</v>
      </c>
      <c r="C195" s="3">
        <v>176.5</v>
      </c>
      <c r="D195" s="3">
        <v>176.68</v>
      </c>
      <c r="E195" s="3">
        <v>171.83</v>
      </c>
      <c r="F195" s="3">
        <v>173.14</v>
      </c>
      <c r="G195" s="3">
        <v>171.4</v>
      </c>
      <c r="H195" s="4">
        <v>1020400</v>
      </c>
    </row>
    <row r="196" spans="2:8" ht="19" x14ac:dyDescent="0.25">
      <c r="B196" s="2">
        <v>45727</v>
      </c>
      <c r="C196" s="3">
        <v>189.82</v>
      </c>
      <c r="D196" s="3">
        <v>190.09</v>
      </c>
      <c r="E196" s="3">
        <v>176.68</v>
      </c>
      <c r="F196" s="3">
        <v>176.69</v>
      </c>
      <c r="G196" s="3">
        <v>174.91</v>
      </c>
      <c r="H196" s="4">
        <v>1503700</v>
      </c>
    </row>
    <row r="197" spans="2:8" ht="19" x14ac:dyDescent="0.25">
      <c r="B197" s="2">
        <v>45726</v>
      </c>
      <c r="C197" s="3">
        <v>190.47</v>
      </c>
      <c r="D197" s="3">
        <v>196</v>
      </c>
      <c r="E197" s="3">
        <v>188.67</v>
      </c>
      <c r="F197" s="3">
        <v>190.15</v>
      </c>
      <c r="G197" s="3">
        <v>188.24</v>
      </c>
      <c r="H197" s="4">
        <v>1181100</v>
      </c>
    </row>
    <row r="198" spans="2:8" ht="19" x14ac:dyDescent="0.25">
      <c r="B198" s="2">
        <v>45723</v>
      </c>
      <c r="C198" s="3">
        <v>183.7</v>
      </c>
      <c r="D198" s="3">
        <v>193.02</v>
      </c>
      <c r="E198" s="3">
        <v>183.35</v>
      </c>
      <c r="F198" s="3">
        <v>191.28</v>
      </c>
      <c r="G198" s="3">
        <v>189.35</v>
      </c>
      <c r="H198" s="4">
        <v>1300700</v>
      </c>
    </row>
    <row r="199" spans="2:8" ht="19" x14ac:dyDescent="0.25">
      <c r="B199" s="2">
        <v>45722</v>
      </c>
      <c r="C199" s="3">
        <v>176.32</v>
      </c>
      <c r="D199" s="3">
        <v>183.81</v>
      </c>
      <c r="E199" s="3">
        <v>175.53</v>
      </c>
      <c r="F199" s="3">
        <v>183.51</v>
      </c>
      <c r="G199" s="3">
        <v>181.66</v>
      </c>
      <c r="H199" s="4">
        <v>867900</v>
      </c>
    </row>
    <row r="200" spans="2:8" ht="19" x14ac:dyDescent="0.25">
      <c r="B200" s="2">
        <v>45721</v>
      </c>
      <c r="C200" s="3">
        <v>175.63</v>
      </c>
      <c r="D200" s="3">
        <v>178.18</v>
      </c>
      <c r="E200" s="3">
        <v>175.34</v>
      </c>
      <c r="F200" s="3">
        <v>177.63</v>
      </c>
      <c r="G200" s="3">
        <v>175.27</v>
      </c>
      <c r="H200" s="4">
        <v>681600</v>
      </c>
    </row>
    <row r="201" spans="2:8" ht="19" x14ac:dyDescent="0.25">
      <c r="B201" s="2">
        <v>45720</v>
      </c>
      <c r="C201" s="3">
        <v>178</v>
      </c>
      <c r="D201" s="3">
        <v>183.33</v>
      </c>
      <c r="E201" s="3">
        <v>176.9</v>
      </c>
      <c r="F201" s="3">
        <v>177.02</v>
      </c>
      <c r="G201" s="3">
        <v>174.67</v>
      </c>
      <c r="H201" s="4">
        <v>1045100</v>
      </c>
    </row>
    <row r="202" spans="2:8" ht="19" x14ac:dyDescent="0.25">
      <c r="B202" s="2">
        <v>45719</v>
      </c>
      <c r="C202" s="3">
        <v>173.59</v>
      </c>
      <c r="D202" s="3">
        <v>178.06</v>
      </c>
      <c r="E202" s="3">
        <v>173.59</v>
      </c>
      <c r="F202" s="3">
        <v>178</v>
      </c>
      <c r="G202" s="3">
        <v>175.63</v>
      </c>
      <c r="H202" s="4">
        <v>780400</v>
      </c>
    </row>
    <row r="203" spans="2:8" ht="19" x14ac:dyDescent="0.25">
      <c r="B203" s="2">
        <v>45716</v>
      </c>
      <c r="C203" s="3">
        <v>172.87</v>
      </c>
      <c r="D203" s="3">
        <v>174.28</v>
      </c>
      <c r="E203" s="3">
        <v>171.02</v>
      </c>
      <c r="F203" s="3">
        <v>173.59</v>
      </c>
      <c r="G203" s="3">
        <v>171.28</v>
      </c>
      <c r="H203" s="4">
        <v>712500</v>
      </c>
    </row>
    <row r="204" spans="2:8" ht="19" x14ac:dyDescent="0.25">
      <c r="B204" s="2">
        <v>45715</v>
      </c>
      <c r="C204" s="3">
        <v>171.09</v>
      </c>
      <c r="D204" s="3">
        <v>172.86</v>
      </c>
      <c r="E204" s="3">
        <v>171.09</v>
      </c>
      <c r="F204" s="3">
        <v>171.87</v>
      </c>
      <c r="G204" s="3">
        <v>169.58</v>
      </c>
      <c r="H204" s="4">
        <v>415200</v>
      </c>
    </row>
    <row r="205" spans="2:8" ht="19" x14ac:dyDescent="0.25">
      <c r="B205" s="2">
        <v>45714</v>
      </c>
      <c r="C205" s="3">
        <v>174</v>
      </c>
      <c r="D205" s="3">
        <v>174.66</v>
      </c>
      <c r="E205" s="3">
        <v>171.56</v>
      </c>
      <c r="F205" s="3">
        <v>171.76</v>
      </c>
      <c r="G205" s="3">
        <v>169.48</v>
      </c>
      <c r="H205" s="4">
        <v>521900</v>
      </c>
    </row>
    <row r="206" spans="2:8" ht="19" x14ac:dyDescent="0.25">
      <c r="B206" s="2">
        <v>45713</v>
      </c>
      <c r="C206" s="3">
        <v>173.47</v>
      </c>
      <c r="D206" s="3">
        <v>176.35</v>
      </c>
      <c r="E206" s="3">
        <v>172.74</v>
      </c>
      <c r="F206" s="3">
        <v>174.05</v>
      </c>
      <c r="G206" s="3">
        <v>171.74</v>
      </c>
      <c r="H206" s="4">
        <v>632900</v>
      </c>
    </row>
    <row r="207" spans="2:8" ht="19" x14ac:dyDescent="0.25">
      <c r="B207" s="2">
        <v>45712</v>
      </c>
      <c r="C207" s="3">
        <v>171.32</v>
      </c>
      <c r="D207" s="3">
        <v>174.99</v>
      </c>
      <c r="E207" s="3">
        <v>170.28</v>
      </c>
      <c r="F207" s="3">
        <v>172.61</v>
      </c>
      <c r="G207" s="3">
        <v>170.31</v>
      </c>
      <c r="H207" s="4">
        <v>722300</v>
      </c>
    </row>
    <row r="208" spans="2:8" ht="19" x14ac:dyDescent="0.25">
      <c r="B208" s="2">
        <v>45709</v>
      </c>
      <c r="C208" s="3">
        <v>168.75</v>
      </c>
      <c r="D208" s="3">
        <v>171.99</v>
      </c>
      <c r="E208" s="3">
        <v>168.5</v>
      </c>
      <c r="F208" s="3">
        <v>171.13</v>
      </c>
      <c r="G208" s="3">
        <v>168.85</v>
      </c>
      <c r="H208" s="4">
        <v>709300</v>
      </c>
    </row>
    <row r="209" spans="2:8" ht="19" x14ac:dyDescent="0.25">
      <c r="B209" s="2">
        <v>45708</v>
      </c>
      <c r="C209" s="3">
        <v>166.81</v>
      </c>
      <c r="D209" s="3">
        <v>168.89</v>
      </c>
      <c r="E209" s="3">
        <v>166.27</v>
      </c>
      <c r="F209" s="3">
        <v>168.7</v>
      </c>
      <c r="G209" s="3">
        <v>166.46</v>
      </c>
      <c r="H209" s="4">
        <v>370000</v>
      </c>
    </row>
    <row r="210" spans="2:8" ht="19" x14ac:dyDescent="0.25">
      <c r="B210" s="2">
        <v>45707</v>
      </c>
      <c r="C210" s="3">
        <v>167.68</v>
      </c>
      <c r="D210" s="3">
        <v>167.92</v>
      </c>
      <c r="E210" s="3">
        <v>164.21</v>
      </c>
      <c r="F210" s="3">
        <v>167.36</v>
      </c>
      <c r="G210" s="3">
        <v>165.13</v>
      </c>
      <c r="H210" s="4">
        <v>495800</v>
      </c>
    </row>
    <row r="211" spans="2:8" ht="19" x14ac:dyDescent="0.25">
      <c r="B211" s="2">
        <v>45706</v>
      </c>
      <c r="C211" s="3">
        <v>166.23</v>
      </c>
      <c r="D211" s="3">
        <v>168.7</v>
      </c>
      <c r="E211" s="3">
        <v>165.47</v>
      </c>
      <c r="F211" s="3">
        <v>167.8</v>
      </c>
      <c r="G211" s="3">
        <v>165.57</v>
      </c>
      <c r="H211" s="4">
        <v>883700</v>
      </c>
    </row>
    <row r="212" spans="2:8" ht="19" x14ac:dyDescent="0.25">
      <c r="B212" s="2">
        <v>45702</v>
      </c>
      <c r="C212" s="3">
        <v>170.17</v>
      </c>
      <c r="D212" s="3">
        <v>171.25</v>
      </c>
      <c r="E212" s="3">
        <v>166.25</v>
      </c>
      <c r="F212" s="3">
        <v>166.47</v>
      </c>
      <c r="G212" s="3">
        <v>164.26</v>
      </c>
      <c r="H212" s="4">
        <v>615100</v>
      </c>
    </row>
    <row r="213" spans="2:8" ht="19" x14ac:dyDescent="0.25">
      <c r="B213" s="2">
        <v>45701</v>
      </c>
      <c r="C213" s="3">
        <v>170.53</v>
      </c>
      <c r="D213" s="3">
        <v>171.71</v>
      </c>
      <c r="E213" s="3">
        <v>170.11</v>
      </c>
      <c r="F213" s="3">
        <v>170.47</v>
      </c>
      <c r="G213" s="3">
        <v>168.2</v>
      </c>
      <c r="H213" s="4">
        <v>508500</v>
      </c>
    </row>
    <row r="214" spans="2:8" ht="19" x14ac:dyDescent="0.25">
      <c r="B214" s="2">
        <v>45700</v>
      </c>
      <c r="C214" s="3">
        <v>170.26</v>
      </c>
      <c r="D214" s="3">
        <v>170.61</v>
      </c>
      <c r="E214" s="3">
        <v>169.09</v>
      </c>
      <c r="F214" s="3">
        <v>170.19</v>
      </c>
      <c r="G214" s="3">
        <v>167.93</v>
      </c>
      <c r="H214" s="4">
        <v>378300</v>
      </c>
    </row>
    <row r="215" spans="2:8" ht="19" x14ac:dyDescent="0.25">
      <c r="B215" s="2">
        <v>45699</v>
      </c>
      <c r="C215" s="3">
        <v>173.86</v>
      </c>
      <c r="D215" s="3">
        <v>173.94</v>
      </c>
      <c r="E215" s="3">
        <v>169.06</v>
      </c>
      <c r="F215" s="3">
        <v>170.97</v>
      </c>
      <c r="G215" s="3">
        <v>168.7</v>
      </c>
      <c r="H215" s="4">
        <v>532900</v>
      </c>
    </row>
    <row r="216" spans="2:8" ht="19" x14ac:dyDescent="0.25">
      <c r="B216" s="2">
        <v>45698</v>
      </c>
      <c r="C216" s="3">
        <v>174</v>
      </c>
      <c r="D216" s="3">
        <v>174.75</v>
      </c>
      <c r="E216" s="3">
        <v>173.08</v>
      </c>
      <c r="F216" s="3">
        <v>173.66</v>
      </c>
      <c r="G216" s="3">
        <v>171.35</v>
      </c>
      <c r="H216" s="4">
        <v>454900</v>
      </c>
    </row>
    <row r="217" spans="2:8" ht="19" x14ac:dyDescent="0.25">
      <c r="B217" s="2">
        <v>45695</v>
      </c>
      <c r="C217" s="3">
        <v>174.61</v>
      </c>
      <c r="D217" s="3">
        <v>174.98</v>
      </c>
      <c r="E217" s="3">
        <v>171.67</v>
      </c>
      <c r="F217" s="3">
        <v>173.81</v>
      </c>
      <c r="G217" s="3">
        <v>171.5</v>
      </c>
      <c r="H217" s="4">
        <v>464800</v>
      </c>
    </row>
    <row r="218" spans="2:8" ht="19" x14ac:dyDescent="0.25">
      <c r="B218" s="2">
        <v>45694</v>
      </c>
      <c r="C218" s="3">
        <v>173.57</v>
      </c>
      <c r="D218" s="3">
        <v>174.57</v>
      </c>
      <c r="E218" s="3">
        <v>170.61</v>
      </c>
      <c r="F218" s="3">
        <v>173.87</v>
      </c>
      <c r="G218" s="3">
        <v>171.56</v>
      </c>
      <c r="H218" s="4">
        <v>772200</v>
      </c>
    </row>
    <row r="219" spans="2:8" ht="19" x14ac:dyDescent="0.25">
      <c r="B219" s="2">
        <v>45693</v>
      </c>
      <c r="C219" s="3">
        <v>174.17</v>
      </c>
      <c r="D219" s="3">
        <v>179.54</v>
      </c>
      <c r="E219" s="3">
        <v>172.06</v>
      </c>
      <c r="F219" s="3">
        <v>172.78</v>
      </c>
      <c r="G219" s="3">
        <v>170.48</v>
      </c>
      <c r="H219" s="4">
        <v>1385400</v>
      </c>
    </row>
    <row r="220" spans="2:8" ht="19" x14ac:dyDescent="0.25">
      <c r="B220" s="2">
        <v>45692</v>
      </c>
      <c r="C220" s="3">
        <v>174.14</v>
      </c>
      <c r="D220" s="3">
        <v>175.24</v>
      </c>
      <c r="E220" s="3">
        <v>172.48</v>
      </c>
      <c r="F220" s="3">
        <v>174.08</v>
      </c>
      <c r="G220" s="3">
        <v>171.77</v>
      </c>
      <c r="H220" s="4">
        <v>1013900</v>
      </c>
    </row>
    <row r="221" spans="2:8" ht="19" x14ac:dyDescent="0.25">
      <c r="B221" s="2">
        <v>45691</v>
      </c>
      <c r="C221" s="3">
        <v>173.59</v>
      </c>
      <c r="D221" s="3">
        <v>175.47</v>
      </c>
      <c r="E221" s="3">
        <v>172</v>
      </c>
      <c r="F221" s="3">
        <v>174.78</v>
      </c>
      <c r="G221" s="3">
        <v>172.46</v>
      </c>
      <c r="H221" s="4">
        <v>655200</v>
      </c>
    </row>
    <row r="222" spans="2:8" ht="19" x14ac:dyDescent="0.25">
      <c r="B222" s="2">
        <v>45688</v>
      </c>
      <c r="C222" s="3">
        <v>173.37</v>
      </c>
      <c r="D222" s="3">
        <v>175.04</v>
      </c>
      <c r="E222" s="3">
        <v>173.07</v>
      </c>
      <c r="F222" s="3">
        <v>174.09</v>
      </c>
      <c r="G222" s="3">
        <v>171.78</v>
      </c>
      <c r="H222" s="4">
        <v>753100</v>
      </c>
    </row>
    <row r="223" spans="2:8" ht="19" x14ac:dyDescent="0.25">
      <c r="B223" s="2">
        <v>45687</v>
      </c>
      <c r="C223" s="3">
        <v>173.3</v>
      </c>
      <c r="D223" s="3">
        <v>175.64</v>
      </c>
      <c r="E223" s="3">
        <v>173.2</v>
      </c>
      <c r="F223" s="3">
        <v>174.34</v>
      </c>
      <c r="G223" s="3">
        <v>172.02</v>
      </c>
      <c r="H223" s="4">
        <v>424700</v>
      </c>
    </row>
    <row r="224" spans="2:8" ht="19" x14ac:dyDescent="0.25">
      <c r="B224" s="2">
        <v>45686</v>
      </c>
      <c r="C224" s="3">
        <v>174.53</v>
      </c>
      <c r="D224" s="3">
        <v>175.89</v>
      </c>
      <c r="E224" s="3">
        <v>172.56</v>
      </c>
      <c r="F224" s="3">
        <v>172.91</v>
      </c>
      <c r="G224" s="3">
        <v>170.61</v>
      </c>
      <c r="H224" s="4">
        <v>418000</v>
      </c>
    </row>
    <row r="225" spans="2:8" ht="19" x14ac:dyDescent="0.25">
      <c r="B225" s="2">
        <v>45685</v>
      </c>
      <c r="C225" s="3">
        <v>176.76</v>
      </c>
      <c r="D225" s="3">
        <v>177.38</v>
      </c>
      <c r="E225" s="3">
        <v>175.08</v>
      </c>
      <c r="F225" s="3">
        <v>175.15</v>
      </c>
      <c r="G225" s="3">
        <v>172.82</v>
      </c>
      <c r="H225" s="4">
        <v>470200</v>
      </c>
    </row>
    <row r="226" spans="2:8" ht="19" x14ac:dyDescent="0.25">
      <c r="B226" s="2">
        <v>45684</v>
      </c>
      <c r="C226" s="3">
        <v>174.59</v>
      </c>
      <c r="D226" s="3">
        <v>178.42</v>
      </c>
      <c r="E226" s="3">
        <v>173.7</v>
      </c>
      <c r="F226" s="3">
        <v>177.6</v>
      </c>
      <c r="G226" s="3">
        <v>175.24</v>
      </c>
      <c r="H226" s="4">
        <v>526700</v>
      </c>
    </row>
    <row r="227" spans="2:8" ht="19" x14ac:dyDescent="0.25">
      <c r="B227" s="2">
        <v>45681</v>
      </c>
      <c r="C227" s="3">
        <v>173.48</v>
      </c>
      <c r="D227" s="3">
        <v>174.74</v>
      </c>
      <c r="E227" s="3">
        <v>173.32</v>
      </c>
      <c r="F227" s="3">
        <v>173.88</v>
      </c>
      <c r="G227" s="3">
        <v>171.57</v>
      </c>
      <c r="H227" s="4">
        <v>429200</v>
      </c>
    </row>
    <row r="228" spans="2:8" ht="19" x14ac:dyDescent="0.25">
      <c r="B228" s="2">
        <v>45680</v>
      </c>
      <c r="C228" s="3">
        <v>173.26</v>
      </c>
      <c r="D228" s="3">
        <v>174.19</v>
      </c>
      <c r="E228" s="3">
        <v>172.12</v>
      </c>
      <c r="F228" s="3">
        <v>174.12</v>
      </c>
      <c r="G228" s="3">
        <v>171.8</v>
      </c>
      <c r="H228" s="4">
        <v>491900</v>
      </c>
    </row>
    <row r="229" spans="2:8" ht="19" x14ac:dyDescent="0.25">
      <c r="B229" s="2">
        <v>45679</v>
      </c>
      <c r="C229" s="3">
        <v>174.55</v>
      </c>
      <c r="D229" s="3">
        <v>174.78</v>
      </c>
      <c r="E229" s="3">
        <v>172.27</v>
      </c>
      <c r="F229" s="3">
        <v>173.54</v>
      </c>
      <c r="G229" s="3">
        <v>171.23</v>
      </c>
      <c r="H229" s="4">
        <v>535200</v>
      </c>
    </row>
    <row r="230" spans="2:8" ht="19" x14ac:dyDescent="0.25">
      <c r="B230" s="2">
        <v>45678</v>
      </c>
      <c r="C230" s="3">
        <v>173.21</v>
      </c>
      <c r="D230" s="3">
        <v>175.62</v>
      </c>
      <c r="E230" s="3">
        <v>173.21</v>
      </c>
      <c r="F230" s="3">
        <v>174.75</v>
      </c>
      <c r="G230" s="3">
        <v>172.43</v>
      </c>
      <c r="H230" s="4">
        <v>384000</v>
      </c>
    </row>
    <row r="231" spans="2:8" ht="19" x14ac:dyDescent="0.25">
      <c r="B231" s="2">
        <v>45674</v>
      </c>
      <c r="C231" s="3">
        <v>173.86</v>
      </c>
      <c r="D231" s="3">
        <v>174.35</v>
      </c>
      <c r="E231" s="3">
        <v>172.45</v>
      </c>
      <c r="F231" s="3">
        <v>173.16</v>
      </c>
      <c r="G231" s="3">
        <v>170.86</v>
      </c>
      <c r="H231" s="4">
        <v>391400</v>
      </c>
    </row>
    <row r="232" spans="2:8" ht="19" x14ac:dyDescent="0.25">
      <c r="B232" s="2">
        <v>45673</v>
      </c>
      <c r="C232" s="3">
        <v>171.97</v>
      </c>
      <c r="D232" s="3">
        <v>173.63</v>
      </c>
      <c r="E232" s="3">
        <v>171.8</v>
      </c>
      <c r="F232" s="3">
        <v>172.5</v>
      </c>
      <c r="G232" s="3">
        <v>170.21</v>
      </c>
      <c r="H232" s="4">
        <v>774900</v>
      </c>
    </row>
    <row r="233" spans="2:8" ht="19" x14ac:dyDescent="0.25">
      <c r="B233" s="2">
        <v>45672</v>
      </c>
      <c r="C233" s="3">
        <v>174.04</v>
      </c>
      <c r="D233" s="3">
        <v>174.63</v>
      </c>
      <c r="E233" s="3">
        <v>171.26</v>
      </c>
      <c r="F233" s="3">
        <v>171.97</v>
      </c>
      <c r="G233" s="3">
        <v>169.68</v>
      </c>
      <c r="H233" s="4">
        <v>697000</v>
      </c>
    </row>
    <row r="234" spans="2:8" ht="19" x14ac:dyDescent="0.25">
      <c r="B234" s="2">
        <v>45671</v>
      </c>
      <c r="C234" s="3">
        <v>172.69</v>
      </c>
      <c r="D234" s="3">
        <v>173</v>
      </c>
      <c r="E234" s="3">
        <v>169.49</v>
      </c>
      <c r="F234" s="3">
        <v>172.37</v>
      </c>
      <c r="G234" s="3">
        <v>170.08</v>
      </c>
      <c r="H234" s="4">
        <v>795700</v>
      </c>
    </row>
    <row r="235" spans="2:8" ht="19" x14ac:dyDescent="0.25">
      <c r="B235" s="2">
        <v>45670</v>
      </c>
      <c r="C235" s="3">
        <v>171.71</v>
      </c>
      <c r="D235" s="3">
        <v>174.47</v>
      </c>
      <c r="E235" s="3">
        <v>170.77</v>
      </c>
      <c r="F235" s="3">
        <v>173.25</v>
      </c>
      <c r="G235" s="3">
        <v>170.95</v>
      </c>
      <c r="H235" s="4">
        <v>736400</v>
      </c>
    </row>
    <row r="236" spans="2:8" ht="19" x14ac:dyDescent="0.25">
      <c r="B236" s="2">
        <v>45667</v>
      </c>
      <c r="C236" s="3">
        <v>172.15</v>
      </c>
      <c r="D236" s="3">
        <v>172.37</v>
      </c>
      <c r="E236" s="3">
        <v>170.7</v>
      </c>
      <c r="F236" s="3">
        <v>172</v>
      </c>
      <c r="G236" s="3">
        <v>169.71</v>
      </c>
      <c r="H236" s="4">
        <v>679700</v>
      </c>
    </row>
    <row r="237" spans="2:8" ht="19" x14ac:dyDescent="0.25">
      <c r="B237" s="2">
        <v>45665</v>
      </c>
      <c r="C237" s="3">
        <v>171.7</v>
      </c>
      <c r="D237" s="3">
        <v>173.57</v>
      </c>
      <c r="E237" s="3">
        <v>170.68</v>
      </c>
      <c r="F237" s="3">
        <v>173.45</v>
      </c>
      <c r="G237" s="3">
        <v>171.14</v>
      </c>
      <c r="H237" s="4">
        <v>550300</v>
      </c>
    </row>
    <row r="238" spans="2:8" ht="19" x14ac:dyDescent="0.25">
      <c r="B238" s="2">
        <v>45664</v>
      </c>
      <c r="C238" s="3">
        <v>169.39</v>
      </c>
      <c r="D238" s="3">
        <v>174.27</v>
      </c>
      <c r="E238" s="3">
        <v>169.29</v>
      </c>
      <c r="F238" s="3">
        <v>171.34</v>
      </c>
      <c r="G238" s="3">
        <v>169.06</v>
      </c>
      <c r="H238" s="4">
        <v>546000</v>
      </c>
    </row>
    <row r="239" spans="2:8" ht="19" x14ac:dyDescent="0.25">
      <c r="B239" s="2">
        <v>45663</v>
      </c>
      <c r="C239" s="3">
        <v>173.34</v>
      </c>
      <c r="D239" s="3">
        <v>173.86</v>
      </c>
      <c r="E239" s="3">
        <v>169.27</v>
      </c>
      <c r="F239" s="3">
        <v>169.63</v>
      </c>
      <c r="G239" s="3">
        <v>167.37</v>
      </c>
      <c r="H239" s="4">
        <v>516900</v>
      </c>
    </row>
    <row r="240" spans="2:8" ht="19" x14ac:dyDescent="0.25">
      <c r="B240" s="2">
        <v>45660</v>
      </c>
      <c r="C240" s="3">
        <v>173.5</v>
      </c>
      <c r="D240" s="3">
        <v>174.26</v>
      </c>
      <c r="E240" s="3">
        <v>172.68</v>
      </c>
      <c r="F240" s="3">
        <v>173.7</v>
      </c>
      <c r="G240" s="3">
        <v>171.39</v>
      </c>
      <c r="H240" s="4">
        <v>378300</v>
      </c>
    </row>
    <row r="241" spans="2:8" ht="19" x14ac:dyDescent="0.25">
      <c r="B241" s="2">
        <v>45659</v>
      </c>
      <c r="C241" s="3">
        <v>175.85</v>
      </c>
      <c r="D241" s="3">
        <v>176.78</v>
      </c>
      <c r="E241" s="3">
        <v>172.43</v>
      </c>
      <c r="F241" s="3">
        <v>172.97</v>
      </c>
      <c r="G241" s="3">
        <v>170.67</v>
      </c>
      <c r="H241" s="4">
        <v>416800</v>
      </c>
    </row>
    <row r="242" spans="2:8" ht="19" x14ac:dyDescent="0.25">
      <c r="B242" s="2">
        <v>45657</v>
      </c>
      <c r="C242" s="3">
        <v>175.75</v>
      </c>
      <c r="D242" s="3">
        <v>176.47</v>
      </c>
      <c r="E242" s="3">
        <v>174.59</v>
      </c>
      <c r="F242" s="3">
        <v>175.3</v>
      </c>
      <c r="G242" s="3">
        <v>172.97</v>
      </c>
      <c r="H242" s="4">
        <v>268400</v>
      </c>
    </row>
    <row r="243" spans="2:8" ht="19" x14ac:dyDescent="0.25">
      <c r="B243" s="2">
        <v>45656</v>
      </c>
      <c r="C243" s="3">
        <v>176.21</v>
      </c>
      <c r="D243" s="3">
        <v>176.21</v>
      </c>
      <c r="E243" s="3">
        <v>173.63</v>
      </c>
      <c r="F243" s="3">
        <v>175.08</v>
      </c>
      <c r="G243" s="3">
        <v>172.75</v>
      </c>
      <c r="H243" s="4">
        <v>275800</v>
      </c>
    </row>
    <row r="244" spans="2:8" ht="19" x14ac:dyDescent="0.25">
      <c r="B244" s="2">
        <v>45653</v>
      </c>
      <c r="C244" s="3">
        <v>176.74</v>
      </c>
      <c r="D244" s="3">
        <v>178</v>
      </c>
      <c r="E244" s="3">
        <v>175.37</v>
      </c>
      <c r="F244" s="3">
        <v>176.88</v>
      </c>
      <c r="G244" s="3">
        <v>174.53</v>
      </c>
      <c r="H244" s="4">
        <v>303200</v>
      </c>
    </row>
    <row r="245" spans="2:8" ht="19" x14ac:dyDescent="0.25">
      <c r="B245" s="2">
        <v>45652</v>
      </c>
      <c r="C245" s="3">
        <v>176.78</v>
      </c>
      <c r="D245" s="3">
        <v>177.76</v>
      </c>
      <c r="E245" s="3">
        <v>175.7</v>
      </c>
      <c r="F245" s="3">
        <v>177.51</v>
      </c>
      <c r="G245" s="3">
        <v>175.15</v>
      </c>
      <c r="H245" s="4">
        <v>348800</v>
      </c>
    </row>
    <row r="246" spans="2:8" ht="19" x14ac:dyDescent="0.25">
      <c r="B246" s="2">
        <v>45650</v>
      </c>
      <c r="C246" s="3">
        <v>175.41</v>
      </c>
      <c r="D246" s="3">
        <v>177.47</v>
      </c>
      <c r="E246" s="3">
        <v>175.04</v>
      </c>
      <c r="F246" s="3">
        <v>177.05</v>
      </c>
      <c r="G246" s="3">
        <v>174.7</v>
      </c>
      <c r="H246" s="4">
        <v>142700</v>
      </c>
    </row>
    <row r="247" spans="2:8" ht="19" x14ac:dyDescent="0.25">
      <c r="B247" s="2">
        <v>45649</v>
      </c>
      <c r="C247" s="3">
        <v>175.48</v>
      </c>
      <c r="D247" s="3">
        <v>176.6</v>
      </c>
      <c r="E247" s="3">
        <v>174.25</v>
      </c>
      <c r="F247" s="3">
        <v>175.64</v>
      </c>
      <c r="G247" s="3">
        <v>173.3</v>
      </c>
      <c r="H247" s="4">
        <v>294900</v>
      </c>
    </row>
    <row r="248" spans="2:8" ht="19" x14ac:dyDescent="0.25">
      <c r="B248" s="2">
        <v>45646</v>
      </c>
      <c r="C248" s="3">
        <v>175.46</v>
      </c>
      <c r="D248" s="3">
        <v>178.4</v>
      </c>
      <c r="E248" s="3">
        <v>174.96</v>
      </c>
      <c r="F248" s="3">
        <v>176.74</v>
      </c>
      <c r="G248" s="3">
        <v>174.39</v>
      </c>
      <c r="H248" s="4">
        <v>1030500</v>
      </c>
    </row>
    <row r="249" spans="2:8" ht="19" x14ac:dyDescent="0.25">
      <c r="B249" s="2">
        <v>45645</v>
      </c>
      <c r="C249" s="3">
        <v>176.7</v>
      </c>
      <c r="D249" s="3">
        <v>178.41</v>
      </c>
      <c r="E249" s="3">
        <v>175.94</v>
      </c>
      <c r="F249" s="3">
        <v>175.99</v>
      </c>
      <c r="G249" s="3">
        <v>173.65</v>
      </c>
      <c r="H249" s="4">
        <v>778000</v>
      </c>
    </row>
    <row r="250" spans="2:8" ht="19" x14ac:dyDescent="0.25">
      <c r="B250" s="2">
        <v>45644</v>
      </c>
      <c r="C250" s="3">
        <v>178.34</v>
      </c>
      <c r="D250" s="3">
        <v>179.43</v>
      </c>
      <c r="E250" s="3">
        <v>176.01</v>
      </c>
      <c r="F250" s="3">
        <v>176.5</v>
      </c>
      <c r="G250" s="3">
        <v>174.15</v>
      </c>
      <c r="H250" s="4">
        <v>1126400</v>
      </c>
    </row>
    <row r="251" spans="2:8" ht="19" x14ac:dyDescent="0.25">
      <c r="B251" s="2">
        <v>45643</v>
      </c>
      <c r="C251" s="3">
        <v>177.93</v>
      </c>
      <c r="D251" s="3">
        <v>179.6</v>
      </c>
      <c r="E251" s="3">
        <v>177.24</v>
      </c>
      <c r="F251" s="3">
        <v>177.67</v>
      </c>
      <c r="G251" s="3">
        <v>175.31</v>
      </c>
      <c r="H251" s="4">
        <v>385900</v>
      </c>
    </row>
    <row r="252" spans="2:8" ht="19" x14ac:dyDescent="0.25">
      <c r="B252" s="2">
        <v>45642</v>
      </c>
      <c r="C252" s="3">
        <v>179.74</v>
      </c>
      <c r="D252" s="3">
        <v>181.03</v>
      </c>
      <c r="E252" s="3">
        <v>177.8</v>
      </c>
      <c r="F252" s="3">
        <v>178.08</v>
      </c>
      <c r="G252" s="3">
        <v>175.71</v>
      </c>
      <c r="H252" s="4">
        <v>537700</v>
      </c>
    </row>
    <row r="253" spans="2:8" ht="19" x14ac:dyDescent="0.25">
      <c r="B253" s="2">
        <v>45639</v>
      </c>
      <c r="C253" s="3">
        <v>180.26</v>
      </c>
      <c r="D253" s="3">
        <v>181.74</v>
      </c>
      <c r="E253" s="3">
        <v>178.96</v>
      </c>
      <c r="F253" s="3">
        <v>179.8</v>
      </c>
      <c r="G253" s="3">
        <v>177.41</v>
      </c>
      <c r="H253" s="4">
        <v>530500</v>
      </c>
    </row>
    <row r="254" spans="2:8" ht="19" x14ac:dyDescent="0.25">
      <c r="B254" s="2">
        <v>45638</v>
      </c>
      <c r="C254" s="3">
        <v>179.12</v>
      </c>
      <c r="D254" s="3">
        <v>181.38</v>
      </c>
      <c r="E254" s="3">
        <v>178.84</v>
      </c>
      <c r="F254" s="3">
        <v>180.55</v>
      </c>
      <c r="G254" s="3">
        <v>178.15</v>
      </c>
      <c r="H254" s="4">
        <v>671700</v>
      </c>
    </row>
    <row r="255" spans="2:8" ht="19" x14ac:dyDescent="0.25">
      <c r="B255" s="2">
        <v>45637</v>
      </c>
      <c r="C255" s="3">
        <v>177.4</v>
      </c>
      <c r="D255" s="3">
        <v>179.02</v>
      </c>
      <c r="E255" s="3">
        <v>176</v>
      </c>
      <c r="F255" s="3">
        <v>178.85</v>
      </c>
      <c r="G255" s="3">
        <v>176.47</v>
      </c>
      <c r="H255" s="4">
        <v>780100</v>
      </c>
    </row>
    <row r="256" spans="2:8" ht="19" x14ac:dyDescent="0.25">
      <c r="B256" s="2">
        <v>45636</v>
      </c>
      <c r="C256" s="3">
        <v>175.22</v>
      </c>
      <c r="D256" s="3">
        <v>178.27</v>
      </c>
      <c r="E256" s="3">
        <v>172.88</v>
      </c>
      <c r="F256" s="3">
        <v>177.27</v>
      </c>
      <c r="G256" s="3">
        <v>174.91</v>
      </c>
      <c r="H256" s="4">
        <v>691000</v>
      </c>
    </row>
    <row r="257" spans="2:8" ht="19" x14ac:dyDescent="0.25">
      <c r="B257" s="2">
        <v>45635</v>
      </c>
      <c r="C257" s="3">
        <v>173.12</v>
      </c>
      <c r="D257" s="3">
        <v>175.19</v>
      </c>
      <c r="E257" s="3">
        <v>172.23</v>
      </c>
      <c r="F257" s="3">
        <v>174.8</v>
      </c>
      <c r="G257" s="3">
        <v>172.48</v>
      </c>
      <c r="H257" s="4">
        <v>530100</v>
      </c>
    </row>
    <row r="258" spans="2:8" ht="19" x14ac:dyDescent="0.25">
      <c r="B258" s="2">
        <v>45632</v>
      </c>
      <c r="C258" s="3">
        <v>174.23</v>
      </c>
      <c r="D258" s="3">
        <v>174.32</v>
      </c>
      <c r="E258" s="3">
        <v>172.09</v>
      </c>
      <c r="F258" s="3">
        <v>173.01</v>
      </c>
      <c r="G258" s="3">
        <v>170.71</v>
      </c>
      <c r="H258" s="4">
        <v>574500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090B-5128-084D-9CFD-C554359E3F35}">
  <dimension ref="B3:M256"/>
  <sheetViews>
    <sheetView topLeftCell="A213" workbookViewId="0">
      <selection activeCell="R235" sqref="R235"/>
    </sheetView>
  </sheetViews>
  <sheetFormatPr baseColWidth="10" defaultRowHeight="16" x14ac:dyDescent="0.2"/>
  <cols>
    <col min="1" max="1" width="10.83203125" style="1"/>
    <col min="2" max="2" width="21.1640625" style="1" customWidth="1"/>
    <col min="3" max="7" width="10.83203125" style="1"/>
    <col min="8" max="8" width="19" style="1" customWidth="1"/>
    <col min="9" max="16384" width="10.83203125" style="1"/>
  </cols>
  <sheetData>
    <row r="3" spans="2:13" x14ac:dyDescent="0.2">
      <c r="B3" s="1" t="s">
        <v>54</v>
      </c>
    </row>
    <row r="4" spans="2:13" x14ac:dyDescent="0.2">
      <c r="L4" s="1" t="s">
        <v>54</v>
      </c>
    </row>
    <row r="6" spans="2:13" x14ac:dyDescent="0.2">
      <c r="B6" s="1" t="s">
        <v>8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L6" s="1" t="s">
        <v>8</v>
      </c>
      <c r="M6" s="1" t="s">
        <v>30</v>
      </c>
    </row>
    <row r="7" spans="2:13" ht="19" x14ac:dyDescent="0.25">
      <c r="B7" s="2">
        <v>45996</v>
      </c>
      <c r="C7" s="3">
        <v>630.29999999999995</v>
      </c>
      <c r="D7" s="3">
        <v>632.98</v>
      </c>
      <c r="E7" s="3">
        <v>629.48</v>
      </c>
      <c r="F7" s="3">
        <v>630.48</v>
      </c>
      <c r="G7" s="3">
        <v>630.48</v>
      </c>
      <c r="H7" s="4">
        <v>5689600</v>
      </c>
      <c r="L7" s="2">
        <v>45996</v>
      </c>
      <c r="M7" s="3">
        <v>630.48</v>
      </c>
    </row>
    <row r="8" spans="2:13" ht="19" x14ac:dyDescent="0.25">
      <c r="B8" s="2">
        <v>45995</v>
      </c>
      <c r="C8" s="3">
        <v>630.13</v>
      </c>
      <c r="D8" s="3">
        <v>630.17999999999995</v>
      </c>
      <c r="E8" s="3">
        <v>626.48</v>
      </c>
      <c r="F8" s="3">
        <v>629.29999999999995</v>
      </c>
      <c r="G8" s="3">
        <v>629.29999999999995</v>
      </c>
      <c r="H8" s="4">
        <v>5147700</v>
      </c>
      <c r="L8" s="2">
        <v>45995</v>
      </c>
      <c r="M8" s="3">
        <v>629.29999999999995</v>
      </c>
    </row>
    <row r="9" spans="2:13" ht="19" x14ac:dyDescent="0.25">
      <c r="B9" s="2">
        <v>45994</v>
      </c>
      <c r="C9" s="3">
        <v>625.77</v>
      </c>
      <c r="D9" s="3">
        <v>629.78</v>
      </c>
      <c r="E9" s="3">
        <v>624.95000000000005</v>
      </c>
      <c r="F9" s="3">
        <v>628.77</v>
      </c>
      <c r="G9" s="3">
        <v>628.77</v>
      </c>
      <c r="H9" s="4">
        <v>6338400</v>
      </c>
      <c r="L9" s="2">
        <v>45994</v>
      </c>
      <c r="M9" s="3">
        <v>628.77</v>
      </c>
    </row>
    <row r="10" spans="2:13" ht="19" x14ac:dyDescent="0.25">
      <c r="B10" s="2">
        <v>45993</v>
      </c>
      <c r="C10" s="3">
        <v>627.01</v>
      </c>
      <c r="D10" s="3">
        <v>628.77</v>
      </c>
      <c r="E10" s="3">
        <v>624.62</v>
      </c>
      <c r="F10" s="3">
        <v>626.58000000000004</v>
      </c>
      <c r="G10" s="3">
        <v>626.58000000000004</v>
      </c>
      <c r="H10" s="4">
        <v>5280600</v>
      </c>
      <c r="L10" s="2">
        <v>45993</v>
      </c>
      <c r="M10" s="3">
        <v>626.58000000000004</v>
      </c>
    </row>
    <row r="11" spans="2:13" ht="19" x14ac:dyDescent="0.25">
      <c r="B11" s="2">
        <v>45992</v>
      </c>
      <c r="C11" s="3">
        <v>624.16999999999996</v>
      </c>
      <c r="D11" s="3">
        <v>628.01</v>
      </c>
      <c r="E11" s="3">
        <v>624.1</v>
      </c>
      <c r="F11" s="3">
        <v>625.52</v>
      </c>
      <c r="G11" s="3">
        <v>625.52</v>
      </c>
      <c r="H11" s="4">
        <v>9191600</v>
      </c>
      <c r="L11" s="2">
        <v>45992</v>
      </c>
      <c r="M11" s="3">
        <v>625.52</v>
      </c>
    </row>
    <row r="12" spans="2:13" ht="19" x14ac:dyDescent="0.25">
      <c r="B12" s="2">
        <v>45989</v>
      </c>
      <c r="C12" s="3">
        <v>626.03</v>
      </c>
      <c r="D12" s="3">
        <v>628.63</v>
      </c>
      <c r="E12" s="3">
        <v>625.71</v>
      </c>
      <c r="F12" s="3">
        <v>628.41</v>
      </c>
      <c r="G12" s="3">
        <v>628.41</v>
      </c>
      <c r="H12" s="4">
        <v>2953200</v>
      </c>
      <c r="L12" s="2">
        <v>45989</v>
      </c>
      <c r="M12" s="3">
        <v>628.41</v>
      </c>
    </row>
    <row r="13" spans="2:13" ht="19" x14ac:dyDescent="0.25">
      <c r="B13" s="2">
        <v>45987</v>
      </c>
      <c r="C13" s="3">
        <v>623.05999999999995</v>
      </c>
      <c r="D13" s="3">
        <v>626.80999999999995</v>
      </c>
      <c r="E13" s="3">
        <v>622.26</v>
      </c>
      <c r="F13" s="3">
        <v>624.95000000000005</v>
      </c>
      <c r="G13" s="3">
        <v>624.95000000000005</v>
      </c>
      <c r="H13" s="4">
        <v>5323200</v>
      </c>
      <c r="L13" s="2">
        <v>45987</v>
      </c>
      <c r="M13" s="3">
        <v>624.95000000000005</v>
      </c>
    </row>
    <row r="14" spans="2:13" ht="19" x14ac:dyDescent="0.25">
      <c r="B14" s="2">
        <v>45986</v>
      </c>
      <c r="C14" s="3">
        <v>614.78</v>
      </c>
      <c r="D14" s="3">
        <v>621.75</v>
      </c>
      <c r="E14" s="3">
        <v>610.99</v>
      </c>
      <c r="F14" s="3">
        <v>620.66</v>
      </c>
      <c r="G14" s="3">
        <v>620.66</v>
      </c>
      <c r="H14" s="4">
        <v>7389500</v>
      </c>
      <c r="L14" s="2">
        <v>45986</v>
      </c>
      <c r="M14" s="3">
        <v>620.66</v>
      </c>
    </row>
    <row r="15" spans="2:13" ht="19" x14ac:dyDescent="0.25">
      <c r="B15" s="2">
        <v>45985</v>
      </c>
      <c r="C15" s="3">
        <v>609.28</v>
      </c>
      <c r="D15" s="3">
        <v>616.09</v>
      </c>
      <c r="E15" s="3">
        <v>608.30999999999995</v>
      </c>
      <c r="F15" s="3">
        <v>614.94000000000005</v>
      </c>
      <c r="G15" s="3">
        <v>614.94000000000005</v>
      </c>
      <c r="H15" s="4">
        <v>6242700</v>
      </c>
      <c r="L15" s="2">
        <v>45985</v>
      </c>
      <c r="M15" s="3">
        <v>614.94000000000005</v>
      </c>
    </row>
    <row r="16" spans="2:13" ht="19" x14ac:dyDescent="0.25">
      <c r="B16" s="2">
        <v>45982</v>
      </c>
      <c r="C16" s="3">
        <v>602.25</v>
      </c>
      <c r="D16" s="3">
        <v>611.01</v>
      </c>
      <c r="E16" s="3">
        <v>598.38</v>
      </c>
      <c r="F16" s="3">
        <v>605.92999999999995</v>
      </c>
      <c r="G16" s="3">
        <v>605.92999999999995</v>
      </c>
      <c r="H16" s="4">
        <v>9821400</v>
      </c>
      <c r="L16" s="2">
        <v>45982</v>
      </c>
      <c r="M16" s="3">
        <v>605.92999999999995</v>
      </c>
    </row>
    <row r="17" spans="2:13" ht="19" x14ac:dyDescent="0.25">
      <c r="B17" s="2">
        <v>45981</v>
      </c>
      <c r="C17" s="3">
        <v>618.72</v>
      </c>
      <c r="D17" s="3">
        <v>621.13</v>
      </c>
      <c r="E17" s="3">
        <v>599.36</v>
      </c>
      <c r="F17" s="3">
        <v>599.96</v>
      </c>
      <c r="G17" s="3">
        <v>599.96</v>
      </c>
      <c r="H17" s="4">
        <v>13985000</v>
      </c>
      <c r="L17" s="2">
        <v>45981</v>
      </c>
      <c r="M17" s="3">
        <v>599.96</v>
      </c>
    </row>
    <row r="18" spans="2:13" ht="19" x14ac:dyDescent="0.25">
      <c r="B18" s="2">
        <v>45980</v>
      </c>
      <c r="C18" s="3">
        <v>607.52</v>
      </c>
      <c r="D18" s="3">
        <v>613.57000000000005</v>
      </c>
      <c r="E18" s="3">
        <v>605.66999999999996</v>
      </c>
      <c r="F18" s="3">
        <v>609.20000000000005</v>
      </c>
      <c r="G18" s="3">
        <v>609.20000000000005</v>
      </c>
      <c r="H18" s="4">
        <v>7449400</v>
      </c>
      <c r="L18" s="2">
        <v>45980</v>
      </c>
      <c r="M18" s="3">
        <v>609.20000000000005</v>
      </c>
    </row>
    <row r="19" spans="2:13" ht="19" x14ac:dyDescent="0.25">
      <c r="B19" s="2">
        <v>45979</v>
      </c>
      <c r="C19" s="3">
        <v>608.72</v>
      </c>
      <c r="D19" s="3">
        <v>611.51</v>
      </c>
      <c r="E19" s="3">
        <v>603</v>
      </c>
      <c r="F19" s="3">
        <v>607</v>
      </c>
      <c r="G19" s="3">
        <v>607</v>
      </c>
      <c r="H19" s="4">
        <v>8542600</v>
      </c>
      <c r="L19" s="2">
        <v>45979</v>
      </c>
      <c r="M19" s="3">
        <v>607</v>
      </c>
    </row>
    <row r="20" spans="2:13" ht="19" x14ac:dyDescent="0.25">
      <c r="B20" s="2">
        <v>45978</v>
      </c>
      <c r="C20" s="3">
        <v>615.74</v>
      </c>
      <c r="D20" s="3">
        <v>619.45000000000005</v>
      </c>
      <c r="E20" s="3">
        <v>608.80999999999995</v>
      </c>
      <c r="F20" s="3">
        <v>612.04</v>
      </c>
      <c r="G20" s="3">
        <v>612.04</v>
      </c>
      <c r="H20" s="4">
        <v>8902500</v>
      </c>
      <c r="L20" s="2">
        <v>45978</v>
      </c>
      <c r="M20" s="3">
        <v>612.04</v>
      </c>
    </row>
    <row r="21" spans="2:13" ht="19" x14ac:dyDescent="0.25">
      <c r="B21" s="2">
        <v>45975</v>
      </c>
      <c r="C21" s="3">
        <v>611.75</v>
      </c>
      <c r="D21" s="3">
        <v>621.22</v>
      </c>
      <c r="E21" s="3">
        <v>609.83000000000004</v>
      </c>
      <c r="F21" s="3">
        <v>617.83000000000004</v>
      </c>
      <c r="G21" s="3">
        <v>617.83000000000004</v>
      </c>
      <c r="H21" s="4">
        <v>9681700</v>
      </c>
      <c r="L21" s="2">
        <v>45975</v>
      </c>
      <c r="M21" s="3">
        <v>617.83000000000004</v>
      </c>
    </row>
    <row r="22" spans="2:13" ht="19" x14ac:dyDescent="0.25">
      <c r="B22" s="2">
        <v>45974</v>
      </c>
      <c r="C22" s="3">
        <v>625.66999999999996</v>
      </c>
      <c r="D22" s="3">
        <v>626.02</v>
      </c>
      <c r="E22" s="3">
        <v>616.51</v>
      </c>
      <c r="F22" s="3">
        <v>617.99</v>
      </c>
      <c r="G22" s="3">
        <v>617.99</v>
      </c>
      <c r="H22" s="4">
        <v>13065800</v>
      </c>
      <c r="L22" s="2">
        <v>45974</v>
      </c>
      <c r="M22" s="3">
        <v>617.99</v>
      </c>
    </row>
    <row r="23" spans="2:13" ht="19" x14ac:dyDescent="0.25">
      <c r="B23" s="2">
        <v>45973</v>
      </c>
      <c r="C23" s="3">
        <v>629.65</v>
      </c>
      <c r="D23" s="3">
        <v>629.77</v>
      </c>
      <c r="E23" s="3">
        <v>626.1</v>
      </c>
      <c r="F23" s="3">
        <v>628.22</v>
      </c>
      <c r="G23" s="3">
        <v>628.22</v>
      </c>
      <c r="H23" s="4">
        <v>6090200</v>
      </c>
      <c r="L23" s="2">
        <v>45973</v>
      </c>
      <c r="M23" s="3">
        <v>628.22</v>
      </c>
    </row>
    <row r="24" spans="2:13" ht="19" x14ac:dyDescent="0.25">
      <c r="B24" s="2">
        <v>45972</v>
      </c>
      <c r="C24" s="3">
        <v>625.16</v>
      </c>
      <c r="D24" s="3">
        <v>628.49</v>
      </c>
      <c r="E24" s="3">
        <v>624.07000000000005</v>
      </c>
      <c r="F24" s="3">
        <v>627.91</v>
      </c>
      <c r="G24" s="3">
        <v>627.91</v>
      </c>
      <c r="H24" s="4">
        <v>5639200</v>
      </c>
      <c r="L24" s="2">
        <v>45972</v>
      </c>
      <c r="M24" s="3">
        <v>627.91</v>
      </c>
    </row>
    <row r="25" spans="2:13" ht="19" x14ac:dyDescent="0.25">
      <c r="B25" s="2">
        <v>45971</v>
      </c>
      <c r="C25" s="3">
        <v>622.69000000000005</v>
      </c>
      <c r="D25" s="3">
        <v>627.21</v>
      </c>
      <c r="E25" s="3">
        <v>620.66</v>
      </c>
      <c r="F25" s="3">
        <v>626.47</v>
      </c>
      <c r="G25" s="3">
        <v>626.47</v>
      </c>
      <c r="H25" s="4">
        <v>8425000</v>
      </c>
      <c r="L25" s="2">
        <v>45971</v>
      </c>
      <c r="M25" s="3">
        <v>626.47</v>
      </c>
    </row>
    <row r="26" spans="2:13" ht="19" x14ac:dyDescent="0.25">
      <c r="B26" s="2">
        <v>45968</v>
      </c>
      <c r="C26" s="3">
        <v>614.09</v>
      </c>
      <c r="D26" s="3">
        <v>617.02</v>
      </c>
      <c r="E26" s="3">
        <v>607.91999999999996</v>
      </c>
      <c r="F26" s="3">
        <v>616.89</v>
      </c>
      <c r="G26" s="3">
        <v>616.89</v>
      </c>
      <c r="H26" s="4">
        <v>7571300</v>
      </c>
      <c r="L26" s="2">
        <v>45968</v>
      </c>
      <c r="M26" s="3">
        <v>616.89</v>
      </c>
    </row>
    <row r="27" spans="2:13" ht="19" x14ac:dyDescent="0.25">
      <c r="B27" s="2">
        <v>45967</v>
      </c>
      <c r="C27" s="3">
        <v>621.96</v>
      </c>
      <c r="D27" s="3">
        <v>622.79</v>
      </c>
      <c r="E27" s="3">
        <v>614.82000000000005</v>
      </c>
      <c r="F27" s="3">
        <v>616.24</v>
      </c>
      <c r="G27" s="3">
        <v>616.24</v>
      </c>
      <c r="H27" s="4">
        <v>7099400</v>
      </c>
      <c r="L27" s="2">
        <v>45967</v>
      </c>
      <c r="M27" s="3">
        <v>616.24</v>
      </c>
    </row>
    <row r="28" spans="2:13" ht="19" x14ac:dyDescent="0.25">
      <c r="B28" s="2">
        <v>45966</v>
      </c>
      <c r="C28" s="3">
        <v>620.59</v>
      </c>
      <c r="D28" s="3">
        <v>626</v>
      </c>
      <c r="E28" s="3">
        <v>619.83000000000004</v>
      </c>
      <c r="F28" s="3">
        <v>622.86</v>
      </c>
      <c r="G28" s="3">
        <v>622.86</v>
      </c>
      <c r="H28" s="4">
        <v>10323100</v>
      </c>
      <c r="L28" s="2">
        <v>45966</v>
      </c>
      <c r="M28" s="3">
        <v>622.86</v>
      </c>
    </row>
    <row r="29" spans="2:13" ht="19" x14ac:dyDescent="0.25">
      <c r="B29" s="2">
        <v>45965</v>
      </c>
      <c r="C29" s="3">
        <v>621.65</v>
      </c>
      <c r="D29" s="3">
        <v>625.16999999999996</v>
      </c>
      <c r="E29" s="3">
        <v>620.20000000000005</v>
      </c>
      <c r="F29" s="3">
        <v>620.99</v>
      </c>
      <c r="G29" s="3">
        <v>620.99</v>
      </c>
      <c r="H29" s="4">
        <v>8390500</v>
      </c>
      <c r="L29" s="2">
        <v>45965</v>
      </c>
      <c r="M29" s="3">
        <v>620.99</v>
      </c>
    </row>
    <row r="30" spans="2:13" ht="19" x14ac:dyDescent="0.25">
      <c r="B30" s="2">
        <v>45964</v>
      </c>
      <c r="C30" s="3">
        <v>630.41999999999996</v>
      </c>
      <c r="D30" s="3">
        <v>630.54</v>
      </c>
      <c r="E30" s="3">
        <v>625.16</v>
      </c>
      <c r="F30" s="3">
        <v>628.27</v>
      </c>
      <c r="G30" s="3">
        <v>628.27</v>
      </c>
      <c r="H30" s="4">
        <v>5568100</v>
      </c>
      <c r="L30" s="2">
        <v>45964</v>
      </c>
      <c r="M30" s="3">
        <v>628.27</v>
      </c>
    </row>
    <row r="31" spans="2:13" ht="19" x14ac:dyDescent="0.25">
      <c r="B31" s="2">
        <v>45961</v>
      </c>
      <c r="C31" s="3">
        <v>629.84</v>
      </c>
      <c r="D31" s="3">
        <v>629.94000000000005</v>
      </c>
      <c r="E31" s="3">
        <v>624.5</v>
      </c>
      <c r="F31" s="3">
        <v>627.04</v>
      </c>
      <c r="G31" s="3">
        <v>627.04</v>
      </c>
      <c r="H31" s="4">
        <v>7058600</v>
      </c>
      <c r="L31" s="2">
        <v>45961</v>
      </c>
      <c r="M31" s="3">
        <v>627.04</v>
      </c>
    </row>
    <row r="32" spans="2:13" ht="19" x14ac:dyDescent="0.25">
      <c r="B32" s="2">
        <v>45960</v>
      </c>
      <c r="C32" s="3">
        <v>628.80999999999995</v>
      </c>
      <c r="D32" s="3">
        <v>630.63</v>
      </c>
      <c r="E32" s="3">
        <v>625.1</v>
      </c>
      <c r="F32" s="3">
        <v>625.24</v>
      </c>
      <c r="G32" s="3">
        <v>625.24</v>
      </c>
      <c r="H32" s="4">
        <v>6243300</v>
      </c>
      <c r="L32" s="2">
        <v>45960</v>
      </c>
      <c r="M32" s="3">
        <v>625.24</v>
      </c>
    </row>
    <row r="33" spans="2:13" ht="19" x14ac:dyDescent="0.25">
      <c r="B33" s="2">
        <v>45959</v>
      </c>
      <c r="C33" s="3">
        <v>633.21</v>
      </c>
      <c r="D33" s="3">
        <v>634.13</v>
      </c>
      <c r="E33" s="3">
        <v>627.87</v>
      </c>
      <c r="F33" s="3">
        <v>631.95000000000005</v>
      </c>
      <c r="G33" s="3">
        <v>631.95000000000005</v>
      </c>
      <c r="H33" s="4">
        <v>6104500</v>
      </c>
      <c r="L33" s="2">
        <v>45959</v>
      </c>
      <c r="M33" s="3">
        <v>631.95000000000005</v>
      </c>
    </row>
    <row r="34" spans="2:13" ht="19" x14ac:dyDescent="0.25">
      <c r="B34" s="2">
        <v>45958</v>
      </c>
      <c r="C34" s="3">
        <v>631.71</v>
      </c>
      <c r="D34" s="3">
        <v>633.39</v>
      </c>
      <c r="E34" s="3">
        <v>629.64</v>
      </c>
      <c r="F34" s="3">
        <v>631.69000000000005</v>
      </c>
      <c r="G34" s="3">
        <v>631.69000000000005</v>
      </c>
      <c r="H34" s="4">
        <v>5625600</v>
      </c>
      <c r="L34" s="2">
        <v>45958</v>
      </c>
      <c r="M34" s="3">
        <v>631.69000000000005</v>
      </c>
    </row>
    <row r="35" spans="2:13" ht="19" x14ac:dyDescent="0.25">
      <c r="B35" s="2">
        <v>45957</v>
      </c>
      <c r="C35" s="3">
        <v>627.74</v>
      </c>
      <c r="D35" s="3">
        <v>630.29</v>
      </c>
      <c r="E35" s="3">
        <v>627.16</v>
      </c>
      <c r="F35" s="3">
        <v>630</v>
      </c>
      <c r="G35" s="3">
        <v>630</v>
      </c>
      <c r="H35" s="4">
        <v>7804300</v>
      </c>
      <c r="L35" s="2">
        <v>45957</v>
      </c>
      <c r="M35" s="3">
        <v>630</v>
      </c>
    </row>
    <row r="36" spans="2:13" ht="19" x14ac:dyDescent="0.25">
      <c r="B36" s="2">
        <v>45954</v>
      </c>
      <c r="C36" s="3">
        <v>621.91999999999996</v>
      </c>
      <c r="D36" s="3">
        <v>623.79</v>
      </c>
      <c r="E36" s="3">
        <v>621.21</v>
      </c>
      <c r="F36" s="3">
        <v>622.54999999999995</v>
      </c>
      <c r="G36" s="3">
        <v>622.54999999999995</v>
      </c>
      <c r="H36" s="4">
        <v>5694900</v>
      </c>
      <c r="L36" s="2">
        <v>45954</v>
      </c>
      <c r="M36" s="3">
        <v>622.54999999999995</v>
      </c>
    </row>
    <row r="37" spans="2:13" ht="19" x14ac:dyDescent="0.25">
      <c r="B37" s="2">
        <v>45953</v>
      </c>
      <c r="C37" s="3">
        <v>614.25</v>
      </c>
      <c r="D37" s="3">
        <v>618.47</v>
      </c>
      <c r="E37" s="3">
        <v>613.99</v>
      </c>
      <c r="F37" s="3">
        <v>617.44000000000005</v>
      </c>
      <c r="G37" s="3">
        <v>617.44000000000005</v>
      </c>
      <c r="H37" s="4">
        <v>5851800</v>
      </c>
      <c r="L37" s="2">
        <v>45953</v>
      </c>
      <c r="M37" s="3">
        <v>617.44000000000005</v>
      </c>
    </row>
    <row r="38" spans="2:13" ht="19" x14ac:dyDescent="0.25">
      <c r="B38" s="2">
        <v>45952</v>
      </c>
      <c r="C38" s="3">
        <v>617.83000000000004</v>
      </c>
      <c r="D38" s="3">
        <v>617.83000000000004</v>
      </c>
      <c r="E38" s="3">
        <v>609.83000000000004</v>
      </c>
      <c r="F38" s="3">
        <v>613.97</v>
      </c>
      <c r="G38" s="3">
        <v>613.97</v>
      </c>
      <c r="H38" s="4">
        <v>6961600</v>
      </c>
      <c r="L38" s="2">
        <v>45952</v>
      </c>
      <c r="M38" s="3">
        <v>613.97</v>
      </c>
    </row>
    <row r="39" spans="2:13" ht="19" x14ac:dyDescent="0.25">
      <c r="B39" s="2">
        <v>45951</v>
      </c>
      <c r="C39" s="3">
        <v>617.33000000000004</v>
      </c>
      <c r="D39" s="3">
        <v>618.74</v>
      </c>
      <c r="E39" s="3">
        <v>615.98</v>
      </c>
      <c r="F39" s="3">
        <v>617.09</v>
      </c>
      <c r="G39" s="3">
        <v>617.09</v>
      </c>
      <c r="H39" s="4">
        <v>4216200</v>
      </c>
      <c r="L39" s="2">
        <v>45951</v>
      </c>
      <c r="M39" s="3">
        <v>617.09</v>
      </c>
    </row>
    <row r="40" spans="2:13" ht="19" x14ac:dyDescent="0.25">
      <c r="B40" s="2">
        <v>45950</v>
      </c>
      <c r="C40" s="3">
        <v>613.51</v>
      </c>
      <c r="D40" s="3">
        <v>618.01</v>
      </c>
      <c r="E40" s="3">
        <v>613.51</v>
      </c>
      <c r="F40" s="3">
        <v>617.16999999999996</v>
      </c>
      <c r="G40" s="3">
        <v>617.16999999999996</v>
      </c>
      <c r="H40" s="4">
        <v>4086200</v>
      </c>
      <c r="L40" s="2">
        <v>45950</v>
      </c>
      <c r="M40" s="3">
        <v>617.16999999999996</v>
      </c>
    </row>
    <row r="41" spans="2:13" ht="19" x14ac:dyDescent="0.25">
      <c r="B41" s="2">
        <v>45947</v>
      </c>
      <c r="C41" s="3">
        <v>606.34</v>
      </c>
      <c r="D41" s="3">
        <v>612.02</v>
      </c>
      <c r="E41" s="3">
        <v>605.1</v>
      </c>
      <c r="F41" s="3">
        <v>610.76</v>
      </c>
      <c r="G41" s="3">
        <v>610.76</v>
      </c>
      <c r="H41" s="4">
        <v>6911000</v>
      </c>
      <c r="L41" s="2">
        <v>45947</v>
      </c>
      <c r="M41" s="3">
        <v>610.76</v>
      </c>
    </row>
    <row r="42" spans="2:13" ht="19" x14ac:dyDescent="0.25">
      <c r="B42" s="2">
        <v>45946</v>
      </c>
      <c r="C42" s="3">
        <v>613.11</v>
      </c>
      <c r="D42" s="3">
        <v>614.79999999999995</v>
      </c>
      <c r="E42" s="3">
        <v>604.14</v>
      </c>
      <c r="F42" s="3">
        <v>607.39</v>
      </c>
      <c r="G42" s="3">
        <v>607.39</v>
      </c>
      <c r="H42" s="4">
        <v>7594800</v>
      </c>
      <c r="L42" s="2">
        <v>45946</v>
      </c>
      <c r="M42" s="3">
        <v>607.39</v>
      </c>
    </row>
    <row r="43" spans="2:13" ht="19" x14ac:dyDescent="0.25">
      <c r="B43" s="2">
        <v>45945</v>
      </c>
      <c r="C43" s="3">
        <v>613.07000000000005</v>
      </c>
      <c r="D43" s="3">
        <v>616.21</v>
      </c>
      <c r="E43" s="3">
        <v>605.82000000000005</v>
      </c>
      <c r="F43" s="3">
        <v>611.42999999999995</v>
      </c>
      <c r="G43" s="3">
        <v>611.42999999999995</v>
      </c>
      <c r="H43" s="4">
        <v>6504900</v>
      </c>
      <c r="L43" s="2">
        <v>45945</v>
      </c>
      <c r="M43" s="3">
        <v>611.42999999999995</v>
      </c>
    </row>
    <row r="44" spans="2:13" ht="19" x14ac:dyDescent="0.25">
      <c r="B44" s="2">
        <v>45944</v>
      </c>
      <c r="C44" s="3">
        <v>604.20000000000005</v>
      </c>
      <c r="D44" s="3">
        <v>612.14</v>
      </c>
      <c r="E44" s="3">
        <v>600.51</v>
      </c>
      <c r="F44" s="3">
        <v>608.75</v>
      </c>
      <c r="G44" s="3">
        <v>608.75</v>
      </c>
      <c r="H44" s="4">
        <v>7493500</v>
      </c>
      <c r="L44" s="2">
        <v>45944</v>
      </c>
      <c r="M44" s="3">
        <v>608.75</v>
      </c>
    </row>
    <row r="45" spans="2:13" ht="19" x14ac:dyDescent="0.25">
      <c r="B45" s="2">
        <v>45943</v>
      </c>
      <c r="C45" s="3">
        <v>607.37</v>
      </c>
      <c r="D45" s="3">
        <v>611.03</v>
      </c>
      <c r="E45" s="3">
        <v>606.58000000000004</v>
      </c>
      <c r="F45" s="3">
        <v>609.61</v>
      </c>
      <c r="G45" s="3">
        <v>609.61</v>
      </c>
      <c r="H45" s="4">
        <v>6968400</v>
      </c>
      <c r="L45" s="2">
        <v>45943</v>
      </c>
      <c r="M45" s="3">
        <v>609.61</v>
      </c>
    </row>
    <row r="46" spans="2:13" ht="19" x14ac:dyDescent="0.25">
      <c r="B46" s="2">
        <v>45940</v>
      </c>
      <c r="C46" s="3">
        <v>617.99</v>
      </c>
      <c r="D46" s="3">
        <v>619.6</v>
      </c>
      <c r="E46" s="3">
        <v>600.23</v>
      </c>
      <c r="F46" s="3">
        <v>600.51</v>
      </c>
      <c r="G46" s="3">
        <v>600.51</v>
      </c>
      <c r="H46" s="4">
        <v>13664200</v>
      </c>
      <c r="L46" s="2">
        <v>45940</v>
      </c>
      <c r="M46" s="3">
        <v>600.51</v>
      </c>
    </row>
    <row r="47" spans="2:13" ht="19" x14ac:dyDescent="0.25">
      <c r="B47" s="2">
        <v>45939</v>
      </c>
      <c r="C47" s="3">
        <v>619.23</v>
      </c>
      <c r="D47" s="3">
        <v>619.59</v>
      </c>
      <c r="E47" s="3">
        <v>615.28</v>
      </c>
      <c r="F47" s="3">
        <v>617.1</v>
      </c>
      <c r="G47" s="3">
        <v>617.1</v>
      </c>
      <c r="H47" s="4">
        <v>5898500</v>
      </c>
      <c r="L47" s="2">
        <v>45939</v>
      </c>
      <c r="M47" s="3">
        <v>617.1</v>
      </c>
    </row>
    <row r="48" spans="2:13" ht="19" x14ac:dyDescent="0.25">
      <c r="B48" s="2">
        <v>45938</v>
      </c>
      <c r="C48" s="3">
        <v>616.22</v>
      </c>
      <c r="D48" s="3">
        <v>618.9</v>
      </c>
      <c r="E48" s="3">
        <v>615.46</v>
      </c>
      <c r="F48" s="3">
        <v>618.77</v>
      </c>
      <c r="G48" s="3">
        <v>618.77</v>
      </c>
      <c r="H48" s="4">
        <v>5035200</v>
      </c>
      <c r="L48" s="2">
        <v>45938</v>
      </c>
      <c r="M48" s="3">
        <v>618.77</v>
      </c>
    </row>
    <row r="49" spans="2:13" ht="19" x14ac:dyDescent="0.25">
      <c r="B49" s="2">
        <v>45937</v>
      </c>
      <c r="C49" s="3">
        <v>618.29999999999995</v>
      </c>
      <c r="D49" s="3">
        <v>618.74</v>
      </c>
      <c r="E49" s="3">
        <v>613.82000000000005</v>
      </c>
      <c r="F49" s="3">
        <v>615.20000000000005</v>
      </c>
      <c r="G49" s="3">
        <v>615.20000000000005</v>
      </c>
      <c r="H49" s="4">
        <v>7466300</v>
      </c>
      <c r="L49" s="2">
        <v>45937</v>
      </c>
      <c r="M49" s="3">
        <v>615.20000000000005</v>
      </c>
    </row>
    <row r="50" spans="2:13" ht="19" x14ac:dyDescent="0.25">
      <c r="B50" s="2">
        <v>45936</v>
      </c>
      <c r="C50" s="3">
        <v>617.46</v>
      </c>
      <c r="D50" s="3">
        <v>618.28</v>
      </c>
      <c r="E50" s="3">
        <v>615.48</v>
      </c>
      <c r="F50" s="3">
        <v>617.4</v>
      </c>
      <c r="G50" s="3">
        <v>617.4</v>
      </c>
      <c r="H50" s="4">
        <v>6056400</v>
      </c>
      <c r="L50" s="2">
        <v>45936</v>
      </c>
      <c r="M50" s="3">
        <v>617.4</v>
      </c>
    </row>
    <row r="51" spans="2:13" ht="19" x14ac:dyDescent="0.25">
      <c r="B51" s="2">
        <v>45933</v>
      </c>
      <c r="C51" s="3">
        <v>615.95000000000005</v>
      </c>
      <c r="D51" s="3">
        <v>618.41999999999996</v>
      </c>
      <c r="E51" s="3">
        <v>614.29</v>
      </c>
      <c r="F51" s="3">
        <v>615.29999999999995</v>
      </c>
      <c r="G51" s="3">
        <v>615.29999999999995</v>
      </c>
      <c r="H51" s="4">
        <v>7210700</v>
      </c>
      <c r="L51" s="2">
        <v>45933</v>
      </c>
      <c r="M51" s="3">
        <v>615.29999999999995</v>
      </c>
    </row>
    <row r="52" spans="2:13" ht="19" x14ac:dyDescent="0.25">
      <c r="B52" s="2">
        <v>45932</v>
      </c>
      <c r="C52" s="3">
        <v>616.41</v>
      </c>
      <c r="D52" s="3">
        <v>616.48</v>
      </c>
      <c r="E52" s="3">
        <v>613.02</v>
      </c>
      <c r="F52" s="3">
        <v>615.25</v>
      </c>
      <c r="G52" s="3">
        <v>615.25</v>
      </c>
      <c r="H52" s="4">
        <v>7139500</v>
      </c>
      <c r="L52" s="2">
        <v>45932</v>
      </c>
      <c r="M52" s="3">
        <v>615.25</v>
      </c>
    </row>
    <row r="53" spans="2:13" ht="19" x14ac:dyDescent="0.25">
      <c r="B53" s="2">
        <v>45931</v>
      </c>
      <c r="C53" s="3">
        <v>609.70000000000005</v>
      </c>
      <c r="D53" s="3">
        <v>615.39</v>
      </c>
      <c r="E53" s="3">
        <v>609.57000000000005</v>
      </c>
      <c r="F53" s="3">
        <v>614.57000000000005</v>
      </c>
      <c r="G53" s="3">
        <v>614.57000000000005</v>
      </c>
      <c r="H53" s="4">
        <v>10020000</v>
      </c>
      <c r="L53" s="2">
        <v>45931</v>
      </c>
      <c r="M53" s="3">
        <v>614.57000000000005</v>
      </c>
    </row>
    <row r="54" spans="2:13" ht="19" x14ac:dyDescent="0.25">
      <c r="B54" s="2">
        <v>45930</v>
      </c>
      <c r="C54" s="3">
        <v>609.42999999999995</v>
      </c>
      <c r="D54" s="3">
        <v>612.86</v>
      </c>
      <c r="E54" s="3">
        <v>608.27</v>
      </c>
      <c r="F54" s="3">
        <v>612.38</v>
      </c>
      <c r="G54" s="3">
        <v>612.38</v>
      </c>
      <c r="H54" s="4">
        <v>6515700</v>
      </c>
      <c r="L54" s="2">
        <v>45930</v>
      </c>
      <c r="M54" s="3">
        <v>612.38</v>
      </c>
    </row>
    <row r="55" spans="2:13" ht="19" x14ac:dyDescent="0.25">
      <c r="B55" s="2">
        <v>45929</v>
      </c>
      <c r="C55" s="3">
        <v>610.79</v>
      </c>
      <c r="D55" s="3">
        <v>611.67999999999995</v>
      </c>
      <c r="E55" s="3">
        <v>608.48</v>
      </c>
      <c r="F55" s="3">
        <v>610.13</v>
      </c>
      <c r="G55" s="3">
        <v>610.13</v>
      </c>
      <c r="H55" s="4">
        <v>5658800</v>
      </c>
      <c r="L55" s="2">
        <v>45929</v>
      </c>
      <c r="M55" s="3">
        <v>610.13</v>
      </c>
    </row>
    <row r="56" spans="2:13" ht="19" x14ac:dyDescent="0.25">
      <c r="B56" s="2">
        <v>45926</v>
      </c>
      <c r="C56" s="3">
        <v>608.03</v>
      </c>
      <c r="D56" s="3">
        <v>610.70000000000005</v>
      </c>
      <c r="E56" s="3">
        <v>606.57000000000005</v>
      </c>
      <c r="F56" s="3">
        <v>610.16</v>
      </c>
      <c r="G56" s="3">
        <v>608.41999999999996</v>
      </c>
      <c r="H56" s="4">
        <v>6438600</v>
      </c>
      <c r="L56" s="2">
        <v>45926</v>
      </c>
      <c r="M56" s="3">
        <v>608.41999999999996</v>
      </c>
    </row>
    <row r="57" spans="2:13" ht="19" x14ac:dyDescent="0.25">
      <c r="B57" s="2">
        <v>45925</v>
      </c>
      <c r="C57" s="3">
        <v>606.62</v>
      </c>
      <c r="D57" s="3">
        <v>607.92999999999995</v>
      </c>
      <c r="E57" s="3">
        <v>603.35</v>
      </c>
      <c r="F57" s="3">
        <v>606.59</v>
      </c>
      <c r="G57" s="3">
        <v>604.86</v>
      </c>
      <c r="H57" s="4">
        <v>6965700</v>
      </c>
      <c r="L57" s="2">
        <v>45925</v>
      </c>
      <c r="M57" s="3">
        <v>604.86</v>
      </c>
    </row>
    <row r="58" spans="2:13" ht="19" x14ac:dyDescent="0.25">
      <c r="B58" s="2">
        <v>45924</v>
      </c>
      <c r="C58" s="3">
        <v>612.63</v>
      </c>
      <c r="D58" s="3">
        <v>612.74</v>
      </c>
      <c r="E58" s="3">
        <v>608.19000000000005</v>
      </c>
      <c r="F58" s="3">
        <v>609.5</v>
      </c>
      <c r="G58" s="3">
        <v>607.76</v>
      </c>
      <c r="H58" s="4">
        <v>23787300</v>
      </c>
      <c r="L58" s="2">
        <v>45924</v>
      </c>
      <c r="M58" s="3">
        <v>607.76</v>
      </c>
    </row>
    <row r="59" spans="2:13" ht="19" x14ac:dyDescent="0.25">
      <c r="B59" s="2">
        <v>45923</v>
      </c>
      <c r="C59" s="3">
        <v>614.71</v>
      </c>
      <c r="D59" s="3">
        <v>615.26</v>
      </c>
      <c r="E59" s="3">
        <v>610.34</v>
      </c>
      <c r="F59" s="3">
        <v>611.54</v>
      </c>
      <c r="G59" s="3">
        <v>609.79999999999995</v>
      </c>
      <c r="H59" s="4">
        <v>10753000</v>
      </c>
      <c r="L59" s="2">
        <v>45923</v>
      </c>
      <c r="M59" s="3">
        <v>609.79999999999995</v>
      </c>
    </row>
    <row r="60" spans="2:13" ht="19" x14ac:dyDescent="0.25">
      <c r="B60" s="2">
        <v>45922</v>
      </c>
      <c r="C60" s="3">
        <v>610.52</v>
      </c>
      <c r="D60" s="3">
        <v>615.22</v>
      </c>
      <c r="E60" s="3">
        <v>610.51</v>
      </c>
      <c r="F60" s="3">
        <v>614.76</v>
      </c>
      <c r="G60" s="3">
        <v>613.01</v>
      </c>
      <c r="H60" s="4">
        <v>11583800</v>
      </c>
      <c r="L60" s="2">
        <v>45922</v>
      </c>
      <c r="M60" s="3">
        <v>613.01</v>
      </c>
    </row>
    <row r="61" spans="2:13" ht="19" x14ac:dyDescent="0.25">
      <c r="B61" s="2">
        <v>45919</v>
      </c>
      <c r="C61" s="3">
        <v>610.62</v>
      </c>
      <c r="D61" s="3">
        <v>612.66999999999996</v>
      </c>
      <c r="E61" s="3">
        <v>608.85</v>
      </c>
      <c r="F61" s="3">
        <v>611.78</v>
      </c>
      <c r="G61" s="3">
        <v>610.04</v>
      </c>
      <c r="H61" s="4">
        <v>6065700</v>
      </c>
      <c r="L61" s="2">
        <v>45919</v>
      </c>
      <c r="M61" s="3">
        <v>610.04</v>
      </c>
    </row>
    <row r="62" spans="2:13" ht="19" x14ac:dyDescent="0.25">
      <c r="B62" s="2">
        <v>45918</v>
      </c>
      <c r="C62" s="3">
        <v>608.54999999999995</v>
      </c>
      <c r="D62" s="3">
        <v>611.30999999999995</v>
      </c>
      <c r="E62" s="3">
        <v>607.07000000000005</v>
      </c>
      <c r="F62" s="3">
        <v>608.94000000000005</v>
      </c>
      <c r="G62" s="3">
        <v>607.20000000000005</v>
      </c>
      <c r="H62" s="4">
        <v>11057500</v>
      </c>
      <c r="L62" s="2">
        <v>45918</v>
      </c>
      <c r="M62" s="3">
        <v>607.20000000000005</v>
      </c>
    </row>
    <row r="63" spans="2:13" ht="19" x14ac:dyDescent="0.25">
      <c r="B63" s="2">
        <v>45917</v>
      </c>
      <c r="C63" s="3">
        <v>606.84</v>
      </c>
      <c r="D63" s="3">
        <v>608.33000000000004</v>
      </c>
      <c r="E63" s="3">
        <v>601.54999999999995</v>
      </c>
      <c r="F63" s="3">
        <v>606.09</v>
      </c>
      <c r="G63" s="3">
        <v>604.36</v>
      </c>
      <c r="H63" s="4">
        <v>11613600</v>
      </c>
      <c r="L63" s="2">
        <v>45917</v>
      </c>
      <c r="M63" s="3">
        <v>604.36</v>
      </c>
    </row>
    <row r="64" spans="2:13" ht="19" x14ac:dyDescent="0.25">
      <c r="B64" s="2">
        <v>45916</v>
      </c>
      <c r="C64" s="3">
        <v>608.16</v>
      </c>
      <c r="D64" s="3">
        <v>608.41999999999996</v>
      </c>
      <c r="E64" s="3">
        <v>606.05999999999995</v>
      </c>
      <c r="F64" s="3">
        <v>606.79</v>
      </c>
      <c r="G64" s="3">
        <v>605.05999999999995</v>
      </c>
      <c r="H64" s="4">
        <v>6393200</v>
      </c>
      <c r="L64" s="2">
        <v>45916</v>
      </c>
      <c r="M64" s="3">
        <v>605.05999999999995</v>
      </c>
    </row>
    <row r="65" spans="2:13" ht="19" x14ac:dyDescent="0.25">
      <c r="B65" s="2">
        <v>45915</v>
      </c>
      <c r="C65" s="3">
        <v>606.47</v>
      </c>
      <c r="D65" s="3">
        <v>607.77</v>
      </c>
      <c r="E65" s="3">
        <v>606.20000000000005</v>
      </c>
      <c r="F65" s="3">
        <v>607.59</v>
      </c>
      <c r="G65" s="3">
        <v>605.86</v>
      </c>
      <c r="H65" s="4">
        <v>7710700</v>
      </c>
      <c r="L65" s="2">
        <v>45915</v>
      </c>
      <c r="M65" s="3">
        <v>605.86</v>
      </c>
    </row>
    <row r="66" spans="2:13" ht="19" x14ac:dyDescent="0.25">
      <c r="B66" s="2">
        <v>45912</v>
      </c>
      <c r="C66" s="3">
        <v>604.59</v>
      </c>
      <c r="D66" s="3">
        <v>605.98</v>
      </c>
      <c r="E66" s="3">
        <v>603.95000000000005</v>
      </c>
      <c r="F66" s="3">
        <v>604.44000000000005</v>
      </c>
      <c r="G66" s="3">
        <v>602.72</v>
      </c>
      <c r="H66" s="4">
        <v>8130500</v>
      </c>
      <c r="L66" s="2">
        <v>45912</v>
      </c>
      <c r="M66" s="3">
        <v>602.72</v>
      </c>
    </row>
    <row r="67" spans="2:13" ht="19" x14ac:dyDescent="0.25">
      <c r="B67" s="2">
        <v>45911</v>
      </c>
      <c r="C67" s="3">
        <v>601.42999999999995</v>
      </c>
      <c r="D67" s="3">
        <v>605.23</v>
      </c>
      <c r="E67" s="3">
        <v>600.89</v>
      </c>
      <c r="F67" s="3">
        <v>604.57000000000005</v>
      </c>
      <c r="G67" s="3">
        <v>602.85</v>
      </c>
      <c r="H67" s="4">
        <v>9109700</v>
      </c>
      <c r="L67" s="2">
        <v>45911</v>
      </c>
      <c r="M67" s="3">
        <v>602.85</v>
      </c>
    </row>
    <row r="68" spans="2:13" ht="19" x14ac:dyDescent="0.25">
      <c r="B68" s="2">
        <v>45910</v>
      </c>
      <c r="C68" s="3">
        <v>600.91999999999996</v>
      </c>
      <c r="D68" s="3">
        <v>601.75</v>
      </c>
      <c r="E68" s="3">
        <v>598.16</v>
      </c>
      <c r="F68" s="3">
        <v>599.67999999999995</v>
      </c>
      <c r="G68" s="3">
        <v>597.97</v>
      </c>
      <c r="H68" s="4">
        <v>21641100</v>
      </c>
      <c r="L68" s="2">
        <v>45910</v>
      </c>
      <c r="M68" s="3">
        <v>597.97</v>
      </c>
    </row>
    <row r="69" spans="2:13" ht="19" x14ac:dyDescent="0.25">
      <c r="B69" s="2">
        <v>45909</v>
      </c>
      <c r="C69" s="3">
        <v>596.61</v>
      </c>
      <c r="D69" s="3">
        <v>598.37</v>
      </c>
      <c r="E69" s="3">
        <v>595.01</v>
      </c>
      <c r="F69" s="3">
        <v>597.95000000000005</v>
      </c>
      <c r="G69" s="3">
        <v>596.24</v>
      </c>
      <c r="H69" s="4">
        <v>7844800</v>
      </c>
      <c r="L69" s="2">
        <v>45909</v>
      </c>
      <c r="M69" s="3">
        <v>596.24</v>
      </c>
    </row>
    <row r="70" spans="2:13" ht="19" x14ac:dyDescent="0.25">
      <c r="B70" s="2">
        <v>45908</v>
      </c>
      <c r="C70" s="3">
        <v>596.30999999999995</v>
      </c>
      <c r="D70" s="3">
        <v>597.41</v>
      </c>
      <c r="E70" s="3">
        <v>595.03</v>
      </c>
      <c r="F70" s="3">
        <v>596.5</v>
      </c>
      <c r="G70" s="3">
        <v>594.79999999999995</v>
      </c>
      <c r="H70" s="4">
        <v>9472200</v>
      </c>
      <c r="L70" s="2">
        <v>45908</v>
      </c>
      <c r="M70" s="3">
        <v>594.79999999999995</v>
      </c>
    </row>
    <row r="71" spans="2:13" ht="19" x14ac:dyDescent="0.25">
      <c r="B71" s="2">
        <v>45905</v>
      </c>
      <c r="C71" s="3">
        <v>598.91</v>
      </c>
      <c r="D71" s="3">
        <v>599.6</v>
      </c>
      <c r="E71" s="3">
        <v>591.45000000000005</v>
      </c>
      <c r="F71" s="3">
        <v>594.96</v>
      </c>
      <c r="G71" s="3">
        <v>593.26</v>
      </c>
      <c r="H71" s="4">
        <v>6641500</v>
      </c>
      <c r="L71" s="2">
        <v>45905</v>
      </c>
      <c r="M71" s="3">
        <v>593.26</v>
      </c>
    </row>
    <row r="72" spans="2:13" ht="19" x14ac:dyDescent="0.25">
      <c r="B72" s="2">
        <v>45904</v>
      </c>
      <c r="C72" s="3">
        <v>592.47</v>
      </c>
      <c r="D72" s="3">
        <v>596.77</v>
      </c>
      <c r="E72" s="3">
        <v>591.6</v>
      </c>
      <c r="F72" s="3">
        <v>596.59</v>
      </c>
      <c r="G72" s="3">
        <v>594.89</v>
      </c>
      <c r="H72" s="4">
        <v>8045600</v>
      </c>
      <c r="L72" s="2">
        <v>45904</v>
      </c>
      <c r="M72" s="3">
        <v>594.89</v>
      </c>
    </row>
    <row r="73" spans="2:13" ht="19" x14ac:dyDescent="0.25">
      <c r="B73" s="2">
        <v>45903</v>
      </c>
      <c r="C73" s="3">
        <v>590.80999999999995</v>
      </c>
      <c r="D73" s="3">
        <v>592.23</v>
      </c>
      <c r="E73" s="3">
        <v>588.78</v>
      </c>
      <c r="F73" s="3">
        <v>591.72</v>
      </c>
      <c r="G73" s="3">
        <v>590.03</v>
      </c>
      <c r="H73" s="4">
        <v>8205900</v>
      </c>
      <c r="L73" s="2">
        <v>45903</v>
      </c>
      <c r="M73" s="3">
        <v>590.03</v>
      </c>
    </row>
    <row r="74" spans="2:13" ht="19" x14ac:dyDescent="0.25">
      <c r="B74" s="2">
        <v>45902</v>
      </c>
      <c r="C74" s="3">
        <v>586.05999999999995</v>
      </c>
      <c r="D74" s="3">
        <v>588.79999999999995</v>
      </c>
      <c r="E74" s="3">
        <v>583.66999999999996</v>
      </c>
      <c r="F74" s="3">
        <v>588.71</v>
      </c>
      <c r="G74" s="3">
        <v>587.03</v>
      </c>
      <c r="H74" s="4">
        <v>11116700</v>
      </c>
      <c r="L74" s="2">
        <v>45902</v>
      </c>
      <c r="M74" s="3">
        <v>587.03</v>
      </c>
    </row>
    <row r="75" spans="2:13" ht="19" x14ac:dyDescent="0.25">
      <c r="B75" s="2">
        <v>45898</v>
      </c>
      <c r="C75" s="3">
        <v>595.24</v>
      </c>
      <c r="D75" s="3">
        <v>595.54999999999995</v>
      </c>
      <c r="E75" s="3">
        <v>591.25</v>
      </c>
      <c r="F75" s="3">
        <v>593.08000000000004</v>
      </c>
      <c r="G75" s="3">
        <v>591.39</v>
      </c>
      <c r="H75" s="4">
        <v>7512000</v>
      </c>
      <c r="L75" s="2">
        <v>45898</v>
      </c>
      <c r="M75" s="3">
        <v>591.39</v>
      </c>
    </row>
    <row r="76" spans="2:13" ht="19" x14ac:dyDescent="0.25">
      <c r="B76" s="2">
        <v>45897</v>
      </c>
      <c r="C76" s="3">
        <v>595.07000000000005</v>
      </c>
      <c r="D76" s="3">
        <v>597.07000000000005</v>
      </c>
      <c r="E76" s="3">
        <v>593.27</v>
      </c>
      <c r="F76" s="3">
        <v>596.52</v>
      </c>
      <c r="G76" s="3">
        <v>594.82000000000005</v>
      </c>
      <c r="H76" s="4">
        <v>5058700</v>
      </c>
      <c r="L76" s="2">
        <v>45897</v>
      </c>
      <c r="M76" s="3">
        <v>594.82000000000005</v>
      </c>
    </row>
    <row r="77" spans="2:13" ht="19" x14ac:dyDescent="0.25">
      <c r="B77" s="2">
        <v>45896</v>
      </c>
      <c r="C77" s="3">
        <v>592.52</v>
      </c>
      <c r="D77" s="3">
        <v>595.14</v>
      </c>
      <c r="E77" s="3">
        <v>592.44000000000005</v>
      </c>
      <c r="F77" s="3">
        <v>594.41999999999996</v>
      </c>
      <c r="G77" s="3">
        <v>592.72</v>
      </c>
      <c r="H77" s="4">
        <v>6171400</v>
      </c>
      <c r="L77" s="2">
        <v>45896</v>
      </c>
      <c r="M77" s="3">
        <v>592.72</v>
      </c>
    </row>
    <row r="78" spans="2:13" ht="19" x14ac:dyDescent="0.25">
      <c r="B78" s="2">
        <v>45895</v>
      </c>
      <c r="C78" s="3">
        <v>590.38</v>
      </c>
      <c r="D78" s="3">
        <v>593.42999999999995</v>
      </c>
      <c r="E78" s="3">
        <v>589.79</v>
      </c>
      <c r="F78" s="3">
        <v>593.05999999999995</v>
      </c>
      <c r="G78" s="3">
        <v>591.37</v>
      </c>
      <c r="H78" s="4">
        <v>4776600</v>
      </c>
      <c r="L78" s="2">
        <v>45895</v>
      </c>
      <c r="M78" s="3">
        <v>591.37</v>
      </c>
    </row>
    <row r="79" spans="2:13" ht="19" x14ac:dyDescent="0.25">
      <c r="B79" s="2">
        <v>45894</v>
      </c>
      <c r="C79" s="3">
        <v>592.04999999999995</v>
      </c>
      <c r="D79" s="3">
        <v>593.23</v>
      </c>
      <c r="E79" s="3">
        <v>590.54999999999995</v>
      </c>
      <c r="F79" s="3">
        <v>590.70000000000005</v>
      </c>
      <c r="G79" s="3">
        <v>589.02</v>
      </c>
      <c r="H79" s="4">
        <v>6483000</v>
      </c>
      <c r="L79" s="2">
        <v>45894</v>
      </c>
      <c r="M79" s="3">
        <v>589.02</v>
      </c>
    </row>
    <row r="80" spans="2:13" ht="19" x14ac:dyDescent="0.25">
      <c r="B80" s="2">
        <v>45891</v>
      </c>
      <c r="C80" s="3">
        <v>586.27</v>
      </c>
      <c r="D80" s="3">
        <v>594.32000000000005</v>
      </c>
      <c r="E80" s="3">
        <v>585.84</v>
      </c>
      <c r="F80" s="3">
        <v>593.21</v>
      </c>
      <c r="G80" s="3">
        <v>591.52</v>
      </c>
      <c r="H80" s="4">
        <v>6389300</v>
      </c>
      <c r="L80" s="2">
        <v>45891</v>
      </c>
      <c r="M80" s="3">
        <v>591.52</v>
      </c>
    </row>
    <row r="81" spans="2:13" ht="19" x14ac:dyDescent="0.25">
      <c r="B81" s="2">
        <v>45890</v>
      </c>
      <c r="C81" s="3">
        <v>584.92999999999995</v>
      </c>
      <c r="D81" s="3">
        <v>586.46</v>
      </c>
      <c r="E81" s="3">
        <v>582.65</v>
      </c>
      <c r="F81" s="3">
        <v>584.27</v>
      </c>
      <c r="G81" s="3">
        <v>582.6</v>
      </c>
      <c r="H81" s="4">
        <v>4807300</v>
      </c>
      <c r="L81" s="2">
        <v>45890</v>
      </c>
      <c r="M81" s="3">
        <v>582.6</v>
      </c>
    </row>
    <row r="82" spans="2:13" ht="19" x14ac:dyDescent="0.25">
      <c r="B82" s="2">
        <v>45889</v>
      </c>
      <c r="C82" s="3">
        <v>587.80999999999995</v>
      </c>
      <c r="D82" s="3">
        <v>588</v>
      </c>
      <c r="E82" s="3">
        <v>581.85</v>
      </c>
      <c r="F82" s="3">
        <v>586.58000000000004</v>
      </c>
      <c r="G82" s="3">
        <v>584.91</v>
      </c>
      <c r="H82" s="4">
        <v>7113600</v>
      </c>
      <c r="L82" s="2">
        <v>45889</v>
      </c>
      <c r="M82" s="3">
        <v>584.91</v>
      </c>
    </row>
    <row r="83" spans="2:13" ht="19" x14ac:dyDescent="0.25">
      <c r="B83" s="2">
        <v>45888</v>
      </c>
      <c r="C83" s="3">
        <v>591.25</v>
      </c>
      <c r="D83" s="3">
        <v>592.12</v>
      </c>
      <c r="E83" s="3">
        <v>586.94000000000005</v>
      </c>
      <c r="F83" s="3">
        <v>588.13</v>
      </c>
      <c r="G83" s="3">
        <v>586.45000000000005</v>
      </c>
      <c r="H83" s="4">
        <v>6739300</v>
      </c>
      <c r="L83" s="2">
        <v>45888</v>
      </c>
      <c r="M83" s="3">
        <v>586.45000000000005</v>
      </c>
    </row>
    <row r="84" spans="2:13" ht="19" x14ac:dyDescent="0.25">
      <c r="B84" s="2">
        <v>45887</v>
      </c>
      <c r="C84" s="3">
        <v>590.98</v>
      </c>
      <c r="D84" s="3">
        <v>592.02</v>
      </c>
      <c r="E84" s="3">
        <v>590.35</v>
      </c>
      <c r="F84" s="3">
        <v>591.36</v>
      </c>
      <c r="G84" s="3">
        <v>589.66999999999996</v>
      </c>
      <c r="H84" s="4">
        <v>5311700</v>
      </c>
      <c r="L84" s="2">
        <v>45887</v>
      </c>
      <c r="M84" s="3">
        <v>589.66999999999996</v>
      </c>
    </row>
    <row r="85" spans="2:13" ht="19" x14ac:dyDescent="0.25">
      <c r="B85" s="2">
        <v>45884</v>
      </c>
      <c r="C85" s="3">
        <v>593.86</v>
      </c>
      <c r="D85" s="3">
        <v>593.95000000000005</v>
      </c>
      <c r="E85" s="3">
        <v>590.66</v>
      </c>
      <c r="F85" s="3">
        <v>591.57000000000005</v>
      </c>
      <c r="G85" s="3">
        <v>589.88</v>
      </c>
      <c r="H85" s="4">
        <v>7196300</v>
      </c>
      <c r="L85" s="2">
        <v>45884</v>
      </c>
      <c r="M85" s="3">
        <v>589.88</v>
      </c>
    </row>
    <row r="86" spans="2:13" ht="19" x14ac:dyDescent="0.25">
      <c r="B86" s="2">
        <v>45883</v>
      </c>
      <c r="C86" s="3">
        <v>590.91999999999996</v>
      </c>
      <c r="D86" s="3">
        <v>593.51</v>
      </c>
      <c r="E86" s="3">
        <v>590.5</v>
      </c>
      <c r="F86" s="3">
        <v>592.85</v>
      </c>
      <c r="G86" s="3">
        <v>591.16</v>
      </c>
      <c r="H86" s="4">
        <v>6236700</v>
      </c>
      <c r="L86" s="2">
        <v>45883</v>
      </c>
      <c r="M86" s="3">
        <v>591.16</v>
      </c>
    </row>
    <row r="87" spans="2:13" ht="19" x14ac:dyDescent="0.25">
      <c r="B87" s="2">
        <v>45882</v>
      </c>
      <c r="C87" s="3">
        <v>592.86</v>
      </c>
      <c r="D87" s="3">
        <v>594.03</v>
      </c>
      <c r="E87" s="3">
        <v>590.80999999999995</v>
      </c>
      <c r="F87" s="3">
        <v>592.84</v>
      </c>
      <c r="G87" s="3">
        <v>591.15</v>
      </c>
      <c r="H87" s="4">
        <v>5393000</v>
      </c>
      <c r="L87" s="2">
        <v>45882</v>
      </c>
      <c r="M87" s="3">
        <v>591.15</v>
      </c>
    </row>
    <row r="88" spans="2:13" ht="19" x14ac:dyDescent="0.25">
      <c r="B88" s="2">
        <v>45881</v>
      </c>
      <c r="C88" s="3">
        <v>586.75</v>
      </c>
      <c r="D88" s="3">
        <v>590.96</v>
      </c>
      <c r="E88" s="3">
        <v>585.42999999999995</v>
      </c>
      <c r="F88" s="3">
        <v>590.78</v>
      </c>
      <c r="G88" s="3">
        <v>589.1</v>
      </c>
      <c r="H88" s="4">
        <v>5851900</v>
      </c>
      <c r="L88" s="2">
        <v>45881</v>
      </c>
      <c r="M88" s="3">
        <v>589.1</v>
      </c>
    </row>
    <row r="89" spans="2:13" ht="19" x14ac:dyDescent="0.25">
      <c r="B89" s="2">
        <v>45880</v>
      </c>
      <c r="C89" s="3">
        <v>586.03</v>
      </c>
      <c r="D89" s="3">
        <v>587.36</v>
      </c>
      <c r="E89" s="3">
        <v>583.44000000000005</v>
      </c>
      <c r="F89" s="3">
        <v>584.54</v>
      </c>
      <c r="G89" s="3">
        <v>582.87</v>
      </c>
      <c r="H89" s="4">
        <v>5373900</v>
      </c>
      <c r="L89" s="2">
        <v>45880</v>
      </c>
      <c r="M89" s="3">
        <v>582.87</v>
      </c>
    </row>
    <row r="90" spans="2:13" ht="19" x14ac:dyDescent="0.25">
      <c r="B90" s="2">
        <v>45877</v>
      </c>
      <c r="C90" s="3">
        <v>582.92999999999995</v>
      </c>
      <c r="D90" s="3">
        <v>586.16999999999996</v>
      </c>
      <c r="E90" s="3">
        <v>582.6</v>
      </c>
      <c r="F90" s="3">
        <v>585.74</v>
      </c>
      <c r="G90" s="3">
        <v>584.07000000000005</v>
      </c>
      <c r="H90" s="4">
        <v>4342300</v>
      </c>
      <c r="L90" s="2">
        <v>45877</v>
      </c>
      <c r="M90" s="3">
        <v>584.07000000000005</v>
      </c>
    </row>
    <row r="91" spans="2:13" ht="19" x14ac:dyDescent="0.25">
      <c r="B91" s="2">
        <v>45876</v>
      </c>
      <c r="C91" s="3">
        <v>584.87</v>
      </c>
      <c r="D91" s="3">
        <v>585.52</v>
      </c>
      <c r="E91" s="3">
        <v>578.30999999999995</v>
      </c>
      <c r="F91" s="3">
        <v>581.29</v>
      </c>
      <c r="G91" s="3">
        <v>579.63</v>
      </c>
      <c r="H91" s="4">
        <v>4594300</v>
      </c>
      <c r="L91" s="2">
        <v>45876</v>
      </c>
      <c r="M91" s="3">
        <v>579.63</v>
      </c>
    </row>
    <row r="92" spans="2:13" ht="19" x14ac:dyDescent="0.25">
      <c r="B92" s="2">
        <v>45875</v>
      </c>
      <c r="C92" s="3">
        <v>578.25</v>
      </c>
      <c r="D92" s="3">
        <v>582.27</v>
      </c>
      <c r="E92" s="3">
        <v>577.41</v>
      </c>
      <c r="F92" s="3">
        <v>581.64</v>
      </c>
      <c r="G92" s="3">
        <v>579.98</v>
      </c>
      <c r="H92" s="4">
        <v>4545000</v>
      </c>
      <c r="L92" s="2">
        <v>45875</v>
      </c>
      <c r="M92" s="3">
        <v>579.98</v>
      </c>
    </row>
    <row r="93" spans="2:13" ht="19" x14ac:dyDescent="0.25">
      <c r="B93" s="2">
        <v>45874</v>
      </c>
      <c r="C93" s="3">
        <v>580.79</v>
      </c>
      <c r="D93" s="3">
        <v>581.5</v>
      </c>
      <c r="E93" s="3">
        <v>576.4</v>
      </c>
      <c r="F93" s="3">
        <v>577.35</v>
      </c>
      <c r="G93" s="3">
        <v>575.70000000000005</v>
      </c>
      <c r="H93" s="4">
        <v>4647400</v>
      </c>
      <c r="L93" s="2">
        <v>45874</v>
      </c>
      <c r="M93" s="3">
        <v>575.70000000000005</v>
      </c>
    </row>
    <row r="94" spans="2:13" ht="19" x14ac:dyDescent="0.25">
      <c r="B94" s="2">
        <v>45873</v>
      </c>
      <c r="C94" s="3">
        <v>575.16999999999996</v>
      </c>
      <c r="D94" s="3">
        <v>580.21</v>
      </c>
      <c r="E94" s="3">
        <v>575.08000000000004</v>
      </c>
      <c r="F94" s="3">
        <v>580.14</v>
      </c>
      <c r="G94" s="3">
        <v>578.49</v>
      </c>
      <c r="H94" s="4">
        <v>6640100</v>
      </c>
      <c r="L94" s="2">
        <v>45873</v>
      </c>
      <c r="M94" s="3">
        <v>578.49</v>
      </c>
    </row>
    <row r="95" spans="2:13" ht="19" x14ac:dyDescent="0.25">
      <c r="B95" s="2">
        <v>45870</v>
      </c>
      <c r="C95" s="3">
        <v>575.73</v>
      </c>
      <c r="D95" s="3">
        <v>575.74</v>
      </c>
      <c r="E95" s="3">
        <v>569.29</v>
      </c>
      <c r="F95" s="3">
        <v>571.45000000000005</v>
      </c>
      <c r="G95" s="3">
        <v>569.82000000000005</v>
      </c>
      <c r="H95" s="4">
        <v>8781300</v>
      </c>
      <c r="L95" s="2">
        <v>45870</v>
      </c>
      <c r="M95" s="3">
        <v>569.82000000000005</v>
      </c>
    </row>
    <row r="96" spans="2:13" ht="19" x14ac:dyDescent="0.25">
      <c r="B96" s="2">
        <v>45869</v>
      </c>
      <c r="C96" s="3">
        <v>587.83000000000004</v>
      </c>
      <c r="D96" s="3">
        <v>588.16</v>
      </c>
      <c r="E96" s="3">
        <v>579.84</v>
      </c>
      <c r="F96" s="3">
        <v>581.02</v>
      </c>
      <c r="G96" s="3">
        <v>579.36</v>
      </c>
      <c r="H96" s="4">
        <v>7046800</v>
      </c>
      <c r="L96" s="2">
        <v>45869</v>
      </c>
      <c r="M96" s="3">
        <v>579.36</v>
      </c>
    </row>
    <row r="97" spans="2:13" ht="19" x14ac:dyDescent="0.25">
      <c r="B97" s="2">
        <v>45868</v>
      </c>
      <c r="C97" s="3">
        <v>584.66</v>
      </c>
      <c r="D97" s="3">
        <v>586.15</v>
      </c>
      <c r="E97" s="3">
        <v>580.54999999999995</v>
      </c>
      <c r="F97" s="3">
        <v>583.21</v>
      </c>
      <c r="G97" s="3">
        <v>581.54999999999995</v>
      </c>
      <c r="H97" s="4">
        <v>6974700</v>
      </c>
      <c r="L97" s="2">
        <v>45868</v>
      </c>
      <c r="M97" s="3">
        <v>581.54999999999995</v>
      </c>
    </row>
    <row r="98" spans="2:13" ht="19" x14ac:dyDescent="0.25">
      <c r="B98" s="2">
        <v>45867</v>
      </c>
      <c r="C98" s="3">
        <v>586.82000000000005</v>
      </c>
      <c r="D98" s="3">
        <v>587.08000000000004</v>
      </c>
      <c r="E98" s="3">
        <v>583.12</v>
      </c>
      <c r="F98" s="3">
        <v>583.91999999999996</v>
      </c>
      <c r="G98" s="3">
        <v>582.25</v>
      </c>
      <c r="H98" s="4">
        <v>5053400</v>
      </c>
      <c r="L98" s="2">
        <v>45867</v>
      </c>
      <c r="M98" s="3">
        <v>582.25</v>
      </c>
    </row>
    <row r="99" spans="2:13" ht="19" x14ac:dyDescent="0.25">
      <c r="B99" s="2">
        <v>45866</v>
      </c>
      <c r="C99" s="3">
        <v>586.04</v>
      </c>
      <c r="D99" s="3">
        <v>586.5</v>
      </c>
      <c r="E99" s="3">
        <v>584.24</v>
      </c>
      <c r="F99" s="3">
        <v>585.44000000000005</v>
      </c>
      <c r="G99" s="3">
        <v>583.77</v>
      </c>
      <c r="H99" s="4">
        <v>4193100</v>
      </c>
      <c r="L99" s="2">
        <v>45866</v>
      </c>
      <c r="M99" s="3">
        <v>583.77</v>
      </c>
    </row>
    <row r="100" spans="2:13" ht="19" x14ac:dyDescent="0.25">
      <c r="B100" s="2">
        <v>45863</v>
      </c>
      <c r="C100" s="3">
        <v>583.80999999999995</v>
      </c>
      <c r="D100" s="3">
        <v>586.04</v>
      </c>
      <c r="E100" s="3">
        <v>583.59</v>
      </c>
      <c r="F100" s="3">
        <v>585.58000000000004</v>
      </c>
      <c r="G100" s="3">
        <v>583.91</v>
      </c>
      <c r="H100" s="4">
        <v>4210100</v>
      </c>
      <c r="L100" s="2">
        <v>45863</v>
      </c>
      <c r="M100" s="3">
        <v>583.91</v>
      </c>
    </row>
    <row r="101" spans="2:13" ht="19" x14ac:dyDescent="0.25">
      <c r="B101" s="2">
        <v>45862</v>
      </c>
      <c r="C101" s="3">
        <v>583.34</v>
      </c>
      <c r="D101" s="3">
        <v>584.75</v>
      </c>
      <c r="E101" s="3">
        <v>582.72</v>
      </c>
      <c r="F101" s="3">
        <v>583.26</v>
      </c>
      <c r="G101" s="3">
        <v>581.6</v>
      </c>
      <c r="H101" s="4">
        <v>3840900</v>
      </c>
      <c r="L101" s="2">
        <v>45862</v>
      </c>
      <c r="M101" s="3">
        <v>581.6</v>
      </c>
    </row>
    <row r="102" spans="2:13" ht="19" x14ac:dyDescent="0.25">
      <c r="B102" s="2">
        <v>45861</v>
      </c>
      <c r="C102" s="3">
        <v>580.57000000000005</v>
      </c>
      <c r="D102" s="3">
        <v>582.96</v>
      </c>
      <c r="E102" s="3">
        <v>578.87</v>
      </c>
      <c r="F102" s="3">
        <v>582.86</v>
      </c>
      <c r="G102" s="3">
        <v>581.20000000000005</v>
      </c>
      <c r="H102" s="4">
        <v>4257300</v>
      </c>
      <c r="L102" s="2">
        <v>45861</v>
      </c>
      <c r="M102" s="3">
        <v>581.20000000000005</v>
      </c>
    </row>
    <row r="103" spans="2:13" ht="19" x14ac:dyDescent="0.25">
      <c r="B103" s="2">
        <v>45860</v>
      </c>
      <c r="C103" s="3">
        <v>578.28</v>
      </c>
      <c r="D103" s="3">
        <v>578.84</v>
      </c>
      <c r="E103" s="3">
        <v>575.64</v>
      </c>
      <c r="F103" s="3">
        <v>577.95000000000005</v>
      </c>
      <c r="G103" s="3">
        <v>576.29999999999995</v>
      </c>
      <c r="H103" s="4">
        <v>4767700</v>
      </c>
      <c r="L103" s="2">
        <v>45860</v>
      </c>
      <c r="M103" s="3">
        <v>576.29999999999995</v>
      </c>
    </row>
    <row r="104" spans="2:13" ht="19" x14ac:dyDescent="0.25">
      <c r="B104" s="2">
        <v>45859</v>
      </c>
      <c r="C104" s="3">
        <v>577.98</v>
      </c>
      <c r="D104" s="3">
        <v>580.53</v>
      </c>
      <c r="E104" s="3">
        <v>577.59</v>
      </c>
      <c r="F104" s="3">
        <v>577.95000000000005</v>
      </c>
      <c r="G104" s="3">
        <v>576.29999999999995</v>
      </c>
      <c r="H104" s="4">
        <v>5913800</v>
      </c>
      <c r="L104" s="2">
        <v>45859</v>
      </c>
      <c r="M104" s="3">
        <v>576.29999999999995</v>
      </c>
    </row>
    <row r="105" spans="2:13" ht="19" x14ac:dyDescent="0.25">
      <c r="B105" s="2">
        <v>45856</v>
      </c>
      <c r="C105" s="3">
        <v>578.47</v>
      </c>
      <c r="D105" s="3">
        <v>578.5</v>
      </c>
      <c r="E105" s="3">
        <v>575.84</v>
      </c>
      <c r="F105" s="3">
        <v>576.91999999999996</v>
      </c>
      <c r="G105" s="3">
        <v>575.27</v>
      </c>
      <c r="H105" s="4">
        <v>4262400</v>
      </c>
      <c r="L105" s="2">
        <v>45856</v>
      </c>
      <c r="M105" s="3">
        <v>575.27</v>
      </c>
    </row>
    <row r="106" spans="2:13" ht="19" x14ac:dyDescent="0.25">
      <c r="B106" s="2">
        <v>45855</v>
      </c>
      <c r="C106" s="3">
        <v>574.02</v>
      </c>
      <c r="D106" s="3">
        <v>577.65</v>
      </c>
      <c r="E106" s="3">
        <v>573.79999999999995</v>
      </c>
      <c r="F106" s="3">
        <v>577.17999999999995</v>
      </c>
      <c r="G106" s="3">
        <v>575.53</v>
      </c>
      <c r="H106" s="4">
        <v>6495300</v>
      </c>
      <c r="L106" s="2">
        <v>45855</v>
      </c>
      <c r="M106" s="3">
        <v>575.53</v>
      </c>
    </row>
    <row r="107" spans="2:13" ht="19" x14ac:dyDescent="0.25">
      <c r="B107" s="2">
        <v>45854</v>
      </c>
      <c r="C107" s="3">
        <v>573.4</v>
      </c>
      <c r="D107" s="3">
        <v>574.26</v>
      </c>
      <c r="E107" s="3">
        <v>568.16999999999996</v>
      </c>
      <c r="F107" s="3">
        <v>573.74</v>
      </c>
      <c r="G107" s="3">
        <v>572.1</v>
      </c>
      <c r="H107" s="4">
        <v>6141200</v>
      </c>
      <c r="L107" s="2">
        <v>45854</v>
      </c>
      <c r="M107" s="3">
        <v>572.1</v>
      </c>
    </row>
    <row r="108" spans="2:13" ht="19" x14ac:dyDescent="0.25">
      <c r="B108" s="2">
        <v>45853</v>
      </c>
      <c r="C108" s="3">
        <v>576.85</v>
      </c>
      <c r="D108" s="3">
        <v>577.16</v>
      </c>
      <c r="E108" s="3">
        <v>571.85</v>
      </c>
      <c r="F108" s="3">
        <v>571.86</v>
      </c>
      <c r="G108" s="3">
        <v>570.23</v>
      </c>
      <c r="H108" s="4">
        <v>5399000</v>
      </c>
      <c r="L108" s="2">
        <v>45853</v>
      </c>
      <c r="M108" s="3">
        <v>570.23</v>
      </c>
    </row>
    <row r="109" spans="2:13" ht="19" x14ac:dyDescent="0.25">
      <c r="B109" s="2">
        <v>45852</v>
      </c>
      <c r="C109" s="3">
        <v>572.85</v>
      </c>
      <c r="D109" s="3">
        <v>574.67999999999995</v>
      </c>
      <c r="E109" s="3">
        <v>571.58000000000004</v>
      </c>
      <c r="F109" s="3">
        <v>574.35</v>
      </c>
      <c r="G109" s="3">
        <v>572.71</v>
      </c>
      <c r="H109" s="4">
        <v>4747000</v>
      </c>
      <c r="L109" s="2">
        <v>45852</v>
      </c>
      <c r="M109" s="3">
        <v>572.71</v>
      </c>
    </row>
    <row r="110" spans="2:13" ht="19" x14ac:dyDescent="0.25">
      <c r="B110" s="2">
        <v>45849</v>
      </c>
      <c r="C110" s="3">
        <v>572.45000000000005</v>
      </c>
      <c r="D110" s="3">
        <v>574.38</v>
      </c>
      <c r="E110" s="3">
        <v>571.37</v>
      </c>
      <c r="F110" s="3">
        <v>573.22</v>
      </c>
      <c r="G110" s="3">
        <v>571.59</v>
      </c>
      <c r="H110" s="4">
        <v>4428900</v>
      </c>
      <c r="L110" s="2">
        <v>45849</v>
      </c>
      <c r="M110" s="3">
        <v>571.59</v>
      </c>
    </row>
    <row r="111" spans="2:13" ht="19" x14ac:dyDescent="0.25">
      <c r="B111" s="2">
        <v>45848</v>
      </c>
      <c r="C111" s="3">
        <v>573.78</v>
      </c>
      <c r="D111" s="3">
        <v>576.26</v>
      </c>
      <c r="E111" s="3">
        <v>572.70000000000005</v>
      </c>
      <c r="F111" s="3">
        <v>575.29</v>
      </c>
      <c r="G111" s="3">
        <v>573.65</v>
      </c>
      <c r="H111" s="4">
        <v>4961700</v>
      </c>
      <c r="L111" s="2">
        <v>45848</v>
      </c>
      <c r="M111" s="3">
        <v>573.65</v>
      </c>
    </row>
    <row r="112" spans="2:13" ht="19" x14ac:dyDescent="0.25">
      <c r="B112" s="2">
        <v>45847</v>
      </c>
      <c r="C112" s="3">
        <v>572.46</v>
      </c>
      <c r="D112" s="3">
        <v>574.26</v>
      </c>
      <c r="E112" s="3">
        <v>570.76</v>
      </c>
      <c r="F112" s="3">
        <v>573.61</v>
      </c>
      <c r="G112" s="3">
        <v>571.97</v>
      </c>
      <c r="H112" s="4">
        <v>7156500</v>
      </c>
      <c r="L112" s="2">
        <v>45847</v>
      </c>
      <c r="M112" s="3">
        <v>571.97</v>
      </c>
    </row>
    <row r="113" spans="2:13" ht="19" x14ac:dyDescent="0.25">
      <c r="B113" s="2">
        <v>45846</v>
      </c>
      <c r="C113" s="3">
        <v>571.15</v>
      </c>
      <c r="D113" s="3">
        <v>571.83000000000004</v>
      </c>
      <c r="E113" s="3">
        <v>569.48</v>
      </c>
      <c r="F113" s="3">
        <v>570.23</v>
      </c>
      <c r="G113" s="3">
        <v>568.6</v>
      </c>
      <c r="H113" s="4">
        <v>6944600</v>
      </c>
      <c r="L113" s="2">
        <v>45846</v>
      </c>
      <c r="M113" s="3">
        <v>568.6</v>
      </c>
    </row>
    <row r="114" spans="2:13" ht="19" x14ac:dyDescent="0.25">
      <c r="B114" s="2">
        <v>45845</v>
      </c>
      <c r="C114" s="3">
        <v>573</v>
      </c>
      <c r="D114" s="3">
        <v>573.59</v>
      </c>
      <c r="E114" s="3">
        <v>567.98</v>
      </c>
      <c r="F114" s="3">
        <v>570.61</v>
      </c>
      <c r="G114" s="3">
        <v>568.98</v>
      </c>
      <c r="H114" s="4">
        <v>6417800</v>
      </c>
      <c r="L114" s="2">
        <v>45845</v>
      </c>
      <c r="M114" s="3">
        <v>568.98</v>
      </c>
    </row>
    <row r="115" spans="2:13" ht="19" x14ac:dyDescent="0.25">
      <c r="B115" s="2">
        <v>45841</v>
      </c>
      <c r="C115" s="3">
        <v>572.17999999999995</v>
      </c>
      <c r="D115" s="3">
        <v>575.66999999999996</v>
      </c>
      <c r="E115" s="3">
        <v>572.13</v>
      </c>
      <c r="F115" s="3">
        <v>575.22</v>
      </c>
      <c r="G115" s="3">
        <v>573.58000000000004</v>
      </c>
      <c r="H115" s="4">
        <v>4837000</v>
      </c>
      <c r="L115" s="2">
        <v>45841</v>
      </c>
      <c r="M115" s="3">
        <v>573.58000000000004</v>
      </c>
    </row>
    <row r="116" spans="2:13" ht="19" x14ac:dyDescent="0.25">
      <c r="B116" s="2">
        <v>45840</v>
      </c>
      <c r="C116" s="3">
        <v>567.37</v>
      </c>
      <c r="D116" s="3">
        <v>570.34</v>
      </c>
      <c r="E116" s="3">
        <v>566.80999999999995</v>
      </c>
      <c r="F116" s="3">
        <v>570.29</v>
      </c>
      <c r="G116" s="3">
        <v>568.66</v>
      </c>
      <c r="H116" s="4">
        <v>6164000</v>
      </c>
      <c r="L116" s="2">
        <v>45840</v>
      </c>
      <c r="M116" s="3">
        <v>568.66</v>
      </c>
    </row>
    <row r="117" spans="2:13" ht="19" x14ac:dyDescent="0.25">
      <c r="B117" s="2">
        <v>45839</v>
      </c>
      <c r="C117" s="3">
        <v>566.55999999999995</v>
      </c>
      <c r="D117" s="3">
        <v>568.79999999999995</v>
      </c>
      <c r="E117" s="3">
        <v>565.79999999999995</v>
      </c>
      <c r="F117" s="3">
        <v>567.77</v>
      </c>
      <c r="G117" s="3">
        <v>566.15</v>
      </c>
      <c r="H117" s="4">
        <v>7412700</v>
      </c>
      <c r="L117" s="2">
        <v>45839</v>
      </c>
      <c r="M117" s="3">
        <v>566.15</v>
      </c>
    </row>
    <row r="118" spans="2:13" ht="19" x14ac:dyDescent="0.25">
      <c r="B118" s="2">
        <v>45838</v>
      </c>
      <c r="C118" s="3">
        <v>567.5</v>
      </c>
      <c r="D118" s="3">
        <v>569.15</v>
      </c>
      <c r="E118" s="3">
        <v>565.38</v>
      </c>
      <c r="F118" s="3">
        <v>568.03</v>
      </c>
      <c r="G118" s="3">
        <v>566.41</v>
      </c>
      <c r="H118" s="4">
        <v>5750600</v>
      </c>
      <c r="L118" s="2">
        <v>45838</v>
      </c>
      <c r="M118" s="3">
        <v>566.41</v>
      </c>
    </row>
    <row r="119" spans="2:13" ht="19" x14ac:dyDescent="0.25">
      <c r="B119" s="2">
        <v>45835</v>
      </c>
      <c r="C119" s="3">
        <v>565.11</v>
      </c>
      <c r="D119" s="3">
        <v>568.33000000000004</v>
      </c>
      <c r="E119" s="3">
        <v>563.21</v>
      </c>
      <c r="F119" s="3">
        <v>566.95000000000005</v>
      </c>
      <c r="G119" s="3">
        <v>563.59</v>
      </c>
      <c r="H119" s="4">
        <v>6056500</v>
      </c>
      <c r="L119" s="2">
        <v>45835</v>
      </c>
      <c r="M119" s="3">
        <v>563.59</v>
      </c>
    </row>
    <row r="120" spans="2:13" ht="19" x14ac:dyDescent="0.25">
      <c r="B120" s="2">
        <v>45834</v>
      </c>
      <c r="C120" s="3">
        <v>561.52</v>
      </c>
      <c r="D120" s="3">
        <v>564.54999999999995</v>
      </c>
      <c r="E120" s="3">
        <v>560.96</v>
      </c>
      <c r="F120" s="3">
        <v>564.15</v>
      </c>
      <c r="G120" s="3">
        <v>560.80999999999995</v>
      </c>
      <c r="H120" s="4">
        <v>6081400</v>
      </c>
      <c r="L120" s="2">
        <v>45834</v>
      </c>
      <c r="M120" s="3">
        <v>560.80999999999995</v>
      </c>
    </row>
    <row r="121" spans="2:13" ht="19" x14ac:dyDescent="0.25">
      <c r="B121" s="2">
        <v>45833</v>
      </c>
      <c r="C121" s="3">
        <v>560.52</v>
      </c>
      <c r="D121" s="3">
        <v>561.02</v>
      </c>
      <c r="E121" s="3">
        <v>558.34</v>
      </c>
      <c r="F121" s="3">
        <v>559.72</v>
      </c>
      <c r="G121" s="3">
        <v>556.41</v>
      </c>
      <c r="H121" s="4">
        <v>16472300</v>
      </c>
      <c r="L121" s="2">
        <v>45833</v>
      </c>
      <c r="M121" s="3">
        <v>556.41</v>
      </c>
    </row>
    <row r="122" spans="2:13" ht="19" x14ac:dyDescent="0.25">
      <c r="B122" s="2">
        <v>45832</v>
      </c>
      <c r="C122" s="3">
        <v>557.17999999999995</v>
      </c>
      <c r="D122" s="3">
        <v>560.42999999999995</v>
      </c>
      <c r="E122" s="3">
        <v>556.37</v>
      </c>
      <c r="F122" s="3">
        <v>559.44000000000005</v>
      </c>
      <c r="G122" s="3">
        <v>556.13</v>
      </c>
      <c r="H122" s="4">
        <v>6770000</v>
      </c>
      <c r="L122" s="2">
        <v>45832</v>
      </c>
      <c r="M122" s="3">
        <v>556.13</v>
      </c>
    </row>
    <row r="123" spans="2:13" ht="19" x14ac:dyDescent="0.25">
      <c r="B123" s="2">
        <v>45831</v>
      </c>
      <c r="C123" s="3">
        <v>548.66</v>
      </c>
      <c r="D123" s="3">
        <v>553.70000000000005</v>
      </c>
      <c r="E123" s="3">
        <v>545.75</v>
      </c>
      <c r="F123" s="3">
        <v>553.36</v>
      </c>
      <c r="G123" s="3">
        <v>550.08000000000004</v>
      </c>
      <c r="H123" s="4">
        <v>9820200</v>
      </c>
      <c r="L123" s="2">
        <v>45831</v>
      </c>
      <c r="M123" s="3">
        <v>550.08000000000004</v>
      </c>
    </row>
    <row r="124" spans="2:13" ht="19" x14ac:dyDescent="0.25">
      <c r="B124" s="2">
        <v>45828</v>
      </c>
      <c r="C124" s="3">
        <v>551.72</v>
      </c>
      <c r="D124" s="3">
        <v>552.72</v>
      </c>
      <c r="E124" s="3">
        <v>546.62</v>
      </c>
      <c r="F124" s="3">
        <v>547.72</v>
      </c>
      <c r="G124" s="3">
        <v>544.48</v>
      </c>
      <c r="H124" s="4">
        <v>9978500</v>
      </c>
      <c r="L124" s="2">
        <v>45828</v>
      </c>
      <c r="M124" s="3">
        <v>544.48</v>
      </c>
    </row>
    <row r="125" spans="2:13" ht="19" x14ac:dyDescent="0.25">
      <c r="B125" s="2">
        <v>45826</v>
      </c>
      <c r="C125" s="3">
        <v>550.16</v>
      </c>
      <c r="D125" s="3">
        <v>552.71</v>
      </c>
      <c r="E125" s="3">
        <v>548.39</v>
      </c>
      <c r="F125" s="3">
        <v>549.24</v>
      </c>
      <c r="G125" s="3">
        <v>545.99</v>
      </c>
      <c r="H125" s="4">
        <v>4602300</v>
      </c>
      <c r="L125" s="2">
        <v>45826</v>
      </c>
      <c r="M125" s="3">
        <v>545.99</v>
      </c>
    </row>
    <row r="126" spans="2:13" ht="19" x14ac:dyDescent="0.25">
      <c r="B126" s="2">
        <v>45825</v>
      </c>
      <c r="C126" s="3">
        <v>551.79</v>
      </c>
      <c r="D126" s="3">
        <v>553.16</v>
      </c>
      <c r="E126" s="3">
        <v>548.64</v>
      </c>
      <c r="F126" s="3">
        <v>549.35</v>
      </c>
      <c r="G126" s="3">
        <v>546.1</v>
      </c>
      <c r="H126" s="4">
        <v>4753300</v>
      </c>
      <c r="L126" s="2">
        <v>45825</v>
      </c>
      <c r="M126" s="3">
        <v>546.1</v>
      </c>
    </row>
    <row r="127" spans="2:13" ht="19" x14ac:dyDescent="0.25">
      <c r="B127" s="2">
        <v>45824</v>
      </c>
      <c r="C127" s="3">
        <v>551.94000000000005</v>
      </c>
      <c r="D127" s="3">
        <v>555.69000000000005</v>
      </c>
      <c r="E127" s="3">
        <v>551.87</v>
      </c>
      <c r="F127" s="3">
        <v>554.07000000000005</v>
      </c>
      <c r="G127" s="3">
        <v>550.79</v>
      </c>
      <c r="H127" s="4">
        <v>7421300</v>
      </c>
      <c r="L127" s="2">
        <v>45824</v>
      </c>
      <c r="M127" s="3">
        <v>550.79</v>
      </c>
    </row>
    <row r="128" spans="2:13" ht="19" x14ac:dyDescent="0.25">
      <c r="B128" s="2">
        <v>45821</v>
      </c>
      <c r="C128" s="3">
        <v>550.24</v>
      </c>
      <c r="D128" s="3">
        <v>553.25</v>
      </c>
      <c r="E128" s="3">
        <v>547.41</v>
      </c>
      <c r="F128" s="3">
        <v>548.77</v>
      </c>
      <c r="G128" s="3">
        <v>545.52</v>
      </c>
      <c r="H128" s="4">
        <v>7100600</v>
      </c>
      <c r="L128" s="2">
        <v>45821</v>
      </c>
      <c r="M128" s="3">
        <v>545.52</v>
      </c>
    </row>
    <row r="129" spans="2:13" ht="19" x14ac:dyDescent="0.25">
      <c r="B129" s="2">
        <v>45820</v>
      </c>
      <c r="C129" s="3">
        <v>551.6</v>
      </c>
      <c r="D129" s="3">
        <v>555</v>
      </c>
      <c r="E129" s="3">
        <v>551.13</v>
      </c>
      <c r="F129" s="3">
        <v>554.95000000000005</v>
      </c>
      <c r="G129" s="3">
        <v>551.66</v>
      </c>
      <c r="H129" s="4">
        <v>8422900</v>
      </c>
      <c r="L129" s="2">
        <v>45820</v>
      </c>
      <c r="M129" s="3">
        <v>551.66</v>
      </c>
    </row>
    <row r="130" spans="2:13" ht="19" x14ac:dyDescent="0.25">
      <c r="B130" s="2">
        <v>45819</v>
      </c>
      <c r="C130" s="3">
        <v>555.41</v>
      </c>
      <c r="D130" s="3">
        <v>556.23</v>
      </c>
      <c r="E130" s="3">
        <v>550.91</v>
      </c>
      <c r="F130" s="3">
        <v>552.86</v>
      </c>
      <c r="G130" s="3">
        <v>549.59</v>
      </c>
      <c r="H130" s="4">
        <v>20800600</v>
      </c>
      <c r="L130" s="2">
        <v>45819</v>
      </c>
      <c r="M130" s="3">
        <v>549.59</v>
      </c>
    </row>
    <row r="131" spans="2:13" ht="19" x14ac:dyDescent="0.25">
      <c r="B131" s="2">
        <v>45818</v>
      </c>
      <c r="C131" s="3">
        <v>551.78</v>
      </c>
      <c r="D131" s="3">
        <v>554.74</v>
      </c>
      <c r="E131" s="3">
        <v>550.74</v>
      </c>
      <c r="F131" s="3">
        <v>554.39</v>
      </c>
      <c r="G131" s="3">
        <v>551.11</v>
      </c>
      <c r="H131" s="4">
        <v>5984100</v>
      </c>
      <c r="L131" s="2">
        <v>45818</v>
      </c>
      <c r="M131" s="3">
        <v>551.11</v>
      </c>
    </row>
    <row r="132" spans="2:13" ht="19" x14ac:dyDescent="0.25">
      <c r="B132" s="2">
        <v>45817</v>
      </c>
      <c r="C132" s="3">
        <v>551.29999999999995</v>
      </c>
      <c r="D132" s="3">
        <v>552.70000000000005</v>
      </c>
      <c r="E132" s="3">
        <v>550.20000000000005</v>
      </c>
      <c r="F132" s="3">
        <v>551.25</v>
      </c>
      <c r="G132" s="3">
        <v>547.99</v>
      </c>
      <c r="H132" s="4">
        <v>4516400</v>
      </c>
      <c r="L132" s="2">
        <v>45817</v>
      </c>
      <c r="M132" s="3">
        <v>547.99</v>
      </c>
    </row>
    <row r="133" spans="2:13" ht="19" x14ac:dyDescent="0.25">
      <c r="B133" s="2">
        <v>45814</v>
      </c>
      <c r="C133" s="3">
        <v>550.29999999999995</v>
      </c>
      <c r="D133" s="3">
        <v>552.32000000000005</v>
      </c>
      <c r="E133" s="3">
        <v>548.70000000000005</v>
      </c>
      <c r="F133" s="3">
        <v>550.66</v>
      </c>
      <c r="G133" s="3">
        <v>547.4</v>
      </c>
      <c r="H133" s="4">
        <v>4736000</v>
      </c>
      <c r="L133" s="2">
        <v>45814</v>
      </c>
      <c r="M133" s="3">
        <v>547.4</v>
      </c>
    </row>
    <row r="134" spans="2:13" ht="19" x14ac:dyDescent="0.25">
      <c r="B134" s="2">
        <v>45813</v>
      </c>
      <c r="C134" s="3">
        <v>549.48</v>
      </c>
      <c r="D134" s="3">
        <v>550.63</v>
      </c>
      <c r="E134" s="3">
        <v>543.34</v>
      </c>
      <c r="F134" s="3">
        <v>545.09</v>
      </c>
      <c r="G134" s="3">
        <v>541.86</v>
      </c>
      <c r="H134" s="4">
        <v>6372100</v>
      </c>
      <c r="L134" s="2">
        <v>45813</v>
      </c>
      <c r="M134" s="3">
        <v>541.86</v>
      </c>
    </row>
    <row r="135" spans="2:13" ht="19" x14ac:dyDescent="0.25">
      <c r="B135" s="2">
        <v>45812</v>
      </c>
      <c r="C135" s="3">
        <v>548.75</v>
      </c>
      <c r="D135" s="3">
        <v>549.65</v>
      </c>
      <c r="E135" s="3">
        <v>547.44000000000005</v>
      </c>
      <c r="F135" s="3">
        <v>547.65</v>
      </c>
      <c r="G135" s="3">
        <v>544.41</v>
      </c>
      <c r="H135" s="4">
        <v>4543400</v>
      </c>
      <c r="L135" s="2">
        <v>45812</v>
      </c>
      <c r="M135" s="3">
        <v>544.41</v>
      </c>
    </row>
    <row r="136" spans="2:13" ht="19" x14ac:dyDescent="0.25">
      <c r="B136" s="2">
        <v>45811</v>
      </c>
      <c r="C136" s="3">
        <v>544.53</v>
      </c>
      <c r="D136" s="3">
        <v>548.87</v>
      </c>
      <c r="E136" s="3">
        <v>544.09</v>
      </c>
      <c r="F136" s="3">
        <v>548</v>
      </c>
      <c r="G136" s="3">
        <v>544.76</v>
      </c>
      <c r="H136" s="4">
        <v>4993600</v>
      </c>
      <c r="L136" s="2">
        <v>45811</v>
      </c>
      <c r="M136" s="3">
        <v>544.76</v>
      </c>
    </row>
    <row r="137" spans="2:13" ht="19" x14ac:dyDescent="0.25">
      <c r="B137" s="2">
        <v>45810</v>
      </c>
      <c r="C137" s="3">
        <v>540.25</v>
      </c>
      <c r="D137" s="3">
        <v>544.91</v>
      </c>
      <c r="E137" s="3">
        <v>537.79999999999995</v>
      </c>
      <c r="F137" s="3">
        <v>544.91</v>
      </c>
      <c r="G137" s="3">
        <v>541.67999999999995</v>
      </c>
      <c r="H137" s="4">
        <v>5933500</v>
      </c>
      <c r="L137" s="2">
        <v>45810</v>
      </c>
      <c r="M137" s="3">
        <v>541.67999999999995</v>
      </c>
    </row>
    <row r="138" spans="2:13" ht="19" x14ac:dyDescent="0.25">
      <c r="B138" s="2">
        <v>45807</v>
      </c>
      <c r="C138" s="3">
        <v>541.35</v>
      </c>
      <c r="D138" s="3">
        <v>543.39</v>
      </c>
      <c r="E138" s="3">
        <v>536.16</v>
      </c>
      <c r="F138" s="3">
        <v>541.76</v>
      </c>
      <c r="G138" s="3">
        <v>538.54999999999995</v>
      </c>
      <c r="H138" s="4">
        <v>6171500</v>
      </c>
      <c r="L138" s="2">
        <v>45807</v>
      </c>
      <c r="M138" s="3">
        <v>538.54999999999995</v>
      </c>
    </row>
    <row r="139" spans="2:13" ht="19" x14ac:dyDescent="0.25">
      <c r="B139" s="2">
        <v>45806</v>
      </c>
      <c r="C139" s="3">
        <v>545.15</v>
      </c>
      <c r="D139" s="3">
        <v>545.28</v>
      </c>
      <c r="E139" s="3">
        <v>538.74</v>
      </c>
      <c r="F139" s="3">
        <v>542.32000000000005</v>
      </c>
      <c r="G139" s="3">
        <v>539.11</v>
      </c>
      <c r="H139" s="4">
        <v>4659500</v>
      </c>
      <c r="L139" s="2">
        <v>45806</v>
      </c>
      <c r="M139" s="3">
        <v>539.11</v>
      </c>
    </row>
    <row r="140" spans="2:13" ht="19" x14ac:dyDescent="0.25">
      <c r="B140" s="2">
        <v>45805</v>
      </c>
      <c r="C140" s="3">
        <v>543.79</v>
      </c>
      <c r="D140" s="3">
        <v>544.9</v>
      </c>
      <c r="E140" s="3">
        <v>539.61</v>
      </c>
      <c r="F140" s="3">
        <v>540.24</v>
      </c>
      <c r="G140" s="3">
        <v>537.04</v>
      </c>
      <c r="H140" s="4">
        <v>4910500</v>
      </c>
      <c r="L140" s="2">
        <v>45805</v>
      </c>
      <c r="M140" s="3">
        <v>537.04</v>
      </c>
    </row>
    <row r="141" spans="2:13" ht="19" x14ac:dyDescent="0.25">
      <c r="B141" s="2">
        <v>45804</v>
      </c>
      <c r="C141" s="3">
        <v>538.72</v>
      </c>
      <c r="D141" s="3">
        <v>543.52</v>
      </c>
      <c r="E141" s="3">
        <v>537.17999999999995</v>
      </c>
      <c r="F141" s="3">
        <v>543.34</v>
      </c>
      <c r="G141" s="3">
        <v>540.12</v>
      </c>
      <c r="H141" s="4">
        <v>6118100</v>
      </c>
      <c r="L141" s="2">
        <v>45804</v>
      </c>
      <c r="M141" s="3">
        <v>540.12</v>
      </c>
    </row>
    <row r="142" spans="2:13" ht="19" x14ac:dyDescent="0.25">
      <c r="B142" s="2">
        <v>45800</v>
      </c>
      <c r="C142" s="3">
        <v>529.42999999999995</v>
      </c>
      <c r="D142" s="3">
        <v>534.80999999999995</v>
      </c>
      <c r="E142" s="3">
        <v>529.11</v>
      </c>
      <c r="F142" s="3">
        <v>532.4</v>
      </c>
      <c r="G142" s="3">
        <v>529.25</v>
      </c>
      <c r="H142" s="4">
        <v>6455900</v>
      </c>
      <c r="L142" s="2">
        <v>45800</v>
      </c>
      <c r="M142" s="3">
        <v>529.25</v>
      </c>
    </row>
    <row r="143" spans="2:13" ht="19" x14ac:dyDescent="0.25">
      <c r="B143" s="2">
        <v>45799</v>
      </c>
      <c r="C143" s="3">
        <v>535.6</v>
      </c>
      <c r="D143" s="3">
        <v>539.23</v>
      </c>
      <c r="E143" s="3">
        <v>534.44000000000005</v>
      </c>
      <c r="F143" s="3">
        <v>536.02</v>
      </c>
      <c r="G143" s="3">
        <v>532.85</v>
      </c>
      <c r="H143" s="4">
        <v>5816600</v>
      </c>
      <c r="L143" s="2">
        <v>45799</v>
      </c>
      <c r="M143" s="3">
        <v>532.85</v>
      </c>
    </row>
    <row r="144" spans="2:13" ht="19" x14ac:dyDescent="0.25">
      <c r="B144" s="2">
        <v>45798</v>
      </c>
      <c r="C144" s="3">
        <v>540.91</v>
      </c>
      <c r="D144" s="3">
        <v>544.69000000000005</v>
      </c>
      <c r="E144" s="3">
        <v>534.82000000000005</v>
      </c>
      <c r="F144" s="3">
        <v>535.77</v>
      </c>
      <c r="G144" s="3">
        <v>532.6</v>
      </c>
      <c r="H144" s="4">
        <v>6339500</v>
      </c>
      <c r="L144" s="2">
        <v>45798</v>
      </c>
      <c r="M144" s="3">
        <v>532.6</v>
      </c>
    </row>
    <row r="145" spans="2:13" ht="19" x14ac:dyDescent="0.25">
      <c r="B145" s="2">
        <v>45797</v>
      </c>
      <c r="C145" s="3">
        <v>545.22</v>
      </c>
      <c r="D145" s="3">
        <v>546.05999999999995</v>
      </c>
      <c r="E145" s="3">
        <v>541.99</v>
      </c>
      <c r="F145" s="3">
        <v>544.88</v>
      </c>
      <c r="G145" s="3">
        <v>541.65</v>
      </c>
      <c r="H145" s="4">
        <v>7158200</v>
      </c>
      <c r="L145" s="2">
        <v>45797</v>
      </c>
      <c r="M145" s="3">
        <v>541.65</v>
      </c>
    </row>
    <row r="146" spans="2:13" ht="19" x14ac:dyDescent="0.25">
      <c r="B146" s="2">
        <v>45796</v>
      </c>
      <c r="C146" s="3">
        <v>540.63</v>
      </c>
      <c r="D146" s="3">
        <v>547.45000000000005</v>
      </c>
      <c r="E146" s="3">
        <v>540.58000000000004</v>
      </c>
      <c r="F146" s="3">
        <v>546.82000000000005</v>
      </c>
      <c r="G146" s="3">
        <v>543.58000000000004</v>
      </c>
      <c r="H146" s="4">
        <v>7766100</v>
      </c>
      <c r="L146" s="2">
        <v>45796</v>
      </c>
      <c r="M146" s="3">
        <v>543.58000000000004</v>
      </c>
    </row>
    <row r="147" spans="2:13" ht="19" x14ac:dyDescent="0.25">
      <c r="B147" s="2">
        <v>45793</v>
      </c>
      <c r="C147" s="3">
        <v>543.47</v>
      </c>
      <c r="D147" s="3">
        <v>546.47</v>
      </c>
      <c r="E147" s="3">
        <v>541.70000000000005</v>
      </c>
      <c r="F147" s="3">
        <v>546.26</v>
      </c>
      <c r="G147" s="3">
        <v>543.03</v>
      </c>
      <c r="H147" s="4">
        <v>7255300</v>
      </c>
      <c r="L147" s="2">
        <v>45793</v>
      </c>
      <c r="M147" s="3">
        <v>543.03</v>
      </c>
    </row>
    <row r="148" spans="2:13" ht="19" x14ac:dyDescent="0.25">
      <c r="B148" s="2">
        <v>45792</v>
      </c>
      <c r="C148" s="3">
        <v>538.26</v>
      </c>
      <c r="D148" s="3">
        <v>543.25</v>
      </c>
      <c r="E148" s="3">
        <v>537.84</v>
      </c>
      <c r="F148" s="3">
        <v>542.76</v>
      </c>
      <c r="G148" s="3">
        <v>539.54999999999995</v>
      </c>
      <c r="H148" s="4">
        <v>7362200</v>
      </c>
      <c r="L148" s="2">
        <v>45792</v>
      </c>
      <c r="M148" s="3">
        <v>539.54999999999995</v>
      </c>
    </row>
    <row r="149" spans="2:13" ht="19" x14ac:dyDescent="0.25">
      <c r="B149" s="2">
        <v>45791</v>
      </c>
      <c r="C149" s="3">
        <v>540.37</v>
      </c>
      <c r="D149" s="3">
        <v>541.41999999999996</v>
      </c>
      <c r="E149" s="3">
        <v>538.24</v>
      </c>
      <c r="F149" s="3">
        <v>540.11</v>
      </c>
      <c r="G149" s="3">
        <v>536.91</v>
      </c>
      <c r="H149" s="4">
        <v>5031300</v>
      </c>
      <c r="L149" s="2">
        <v>45791</v>
      </c>
      <c r="M149" s="3">
        <v>536.91</v>
      </c>
    </row>
    <row r="150" spans="2:13" ht="19" x14ac:dyDescent="0.25">
      <c r="B150" s="2">
        <v>45790</v>
      </c>
      <c r="C150" s="3">
        <v>536.33000000000004</v>
      </c>
      <c r="D150" s="3">
        <v>541.48</v>
      </c>
      <c r="E150" s="3">
        <v>535.78</v>
      </c>
      <c r="F150" s="3">
        <v>539.44000000000005</v>
      </c>
      <c r="G150" s="3">
        <v>536.25</v>
      </c>
      <c r="H150" s="4">
        <v>7356800</v>
      </c>
      <c r="L150" s="2">
        <v>45790</v>
      </c>
      <c r="M150" s="3">
        <v>536.25</v>
      </c>
    </row>
    <row r="151" spans="2:13" ht="19" x14ac:dyDescent="0.25">
      <c r="B151" s="2">
        <v>45789</v>
      </c>
      <c r="C151" s="3">
        <v>534.5</v>
      </c>
      <c r="D151" s="3">
        <v>535.91999999999996</v>
      </c>
      <c r="E151" s="3">
        <v>530.39</v>
      </c>
      <c r="F151" s="3">
        <v>535.91999999999996</v>
      </c>
      <c r="G151" s="3">
        <v>532.75</v>
      </c>
      <c r="H151" s="4">
        <v>7793600</v>
      </c>
      <c r="L151" s="2">
        <v>45789</v>
      </c>
      <c r="M151" s="3">
        <v>532.75</v>
      </c>
    </row>
    <row r="152" spans="2:13" ht="19" x14ac:dyDescent="0.25">
      <c r="B152" s="2">
        <v>45786</v>
      </c>
      <c r="C152" s="3">
        <v>520.69000000000005</v>
      </c>
      <c r="D152" s="3">
        <v>521.63</v>
      </c>
      <c r="E152" s="3">
        <v>517.36</v>
      </c>
      <c r="F152" s="3">
        <v>518.65</v>
      </c>
      <c r="G152" s="3">
        <v>515.58000000000004</v>
      </c>
      <c r="H152" s="4">
        <v>4739500</v>
      </c>
      <c r="L152" s="2">
        <v>45786</v>
      </c>
      <c r="M152" s="3">
        <v>515.58000000000004</v>
      </c>
    </row>
    <row r="153" spans="2:13" ht="19" x14ac:dyDescent="0.25">
      <c r="B153" s="2">
        <v>45785</v>
      </c>
      <c r="C153" s="3">
        <v>519.54</v>
      </c>
      <c r="D153" s="3">
        <v>524.23</v>
      </c>
      <c r="E153" s="3">
        <v>516.35</v>
      </c>
      <c r="F153" s="3">
        <v>519.34</v>
      </c>
      <c r="G153" s="3">
        <v>516.27</v>
      </c>
      <c r="H153" s="4">
        <v>5088200</v>
      </c>
      <c r="L153" s="2">
        <v>45785</v>
      </c>
      <c r="M153" s="3">
        <v>516.27</v>
      </c>
    </row>
    <row r="154" spans="2:13" ht="19" x14ac:dyDescent="0.25">
      <c r="B154" s="2">
        <v>45784</v>
      </c>
      <c r="C154" s="3">
        <v>514.91999999999996</v>
      </c>
      <c r="D154" s="3">
        <v>518.17999999999995</v>
      </c>
      <c r="E154" s="3">
        <v>511.1</v>
      </c>
      <c r="F154" s="3">
        <v>515.9</v>
      </c>
      <c r="G154" s="3">
        <v>512.85</v>
      </c>
      <c r="H154" s="4">
        <v>5460000</v>
      </c>
      <c r="L154" s="2">
        <v>45784</v>
      </c>
      <c r="M154" s="3">
        <v>512.85</v>
      </c>
    </row>
    <row r="155" spans="2:13" ht="19" x14ac:dyDescent="0.25">
      <c r="B155" s="2">
        <v>45783</v>
      </c>
      <c r="C155" s="3">
        <v>512.89</v>
      </c>
      <c r="D155" s="3">
        <v>517.83000000000004</v>
      </c>
      <c r="E155" s="3">
        <v>511.94</v>
      </c>
      <c r="F155" s="3">
        <v>513.58000000000004</v>
      </c>
      <c r="G155" s="3">
        <v>510.54</v>
      </c>
      <c r="H155" s="4">
        <v>4694300</v>
      </c>
      <c r="L155" s="2">
        <v>45783</v>
      </c>
      <c r="M155" s="3">
        <v>510.54</v>
      </c>
    </row>
    <row r="156" spans="2:13" ht="19" x14ac:dyDescent="0.25">
      <c r="B156" s="2">
        <v>45782</v>
      </c>
      <c r="C156" s="3">
        <v>517.08000000000004</v>
      </c>
      <c r="D156" s="3">
        <v>520.85</v>
      </c>
      <c r="E156" s="3">
        <v>516.27</v>
      </c>
      <c r="F156" s="3">
        <v>517.99</v>
      </c>
      <c r="G156" s="3">
        <v>514.91999999999996</v>
      </c>
      <c r="H156" s="4">
        <v>4793500</v>
      </c>
      <c r="L156" s="2">
        <v>45782</v>
      </c>
      <c r="M156" s="3">
        <v>514.91999999999996</v>
      </c>
    </row>
    <row r="157" spans="2:13" ht="19" x14ac:dyDescent="0.25">
      <c r="B157" s="2">
        <v>45779</v>
      </c>
      <c r="C157" s="3">
        <v>519.12</v>
      </c>
      <c r="D157" s="3">
        <v>522.41</v>
      </c>
      <c r="E157" s="3">
        <v>516.89</v>
      </c>
      <c r="F157" s="3">
        <v>520.71</v>
      </c>
      <c r="G157" s="3">
        <v>517.63</v>
      </c>
      <c r="H157" s="4">
        <v>6285400</v>
      </c>
      <c r="L157" s="2">
        <v>45779</v>
      </c>
      <c r="M157" s="3">
        <v>517.63</v>
      </c>
    </row>
    <row r="158" spans="2:13" ht="19" x14ac:dyDescent="0.25">
      <c r="B158" s="2">
        <v>45778</v>
      </c>
      <c r="C158" s="3">
        <v>515.13</v>
      </c>
      <c r="D158" s="3">
        <v>518.44000000000005</v>
      </c>
      <c r="E158" s="3">
        <v>512.77</v>
      </c>
      <c r="F158" s="3">
        <v>513.35</v>
      </c>
      <c r="G158" s="3">
        <v>510.31</v>
      </c>
      <c r="H158" s="4">
        <v>5784500</v>
      </c>
      <c r="L158" s="2">
        <v>45778</v>
      </c>
      <c r="M158" s="3">
        <v>510.31</v>
      </c>
    </row>
    <row r="159" spans="2:13" ht="19" x14ac:dyDescent="0.25">
      <c r="B159" s="2">
        <v>45777</v>
      </c>
      <c r="C159" s="3">
        <v>503.26</v>
      </c>
      <c r="D159" s="3">
        <v>511.5</v>
      </c>
      <c r="E159" s="3">
        <v>497.76</v>
      </c>
      <c r="F159" s="3">
        <v>509.74</v>
      </c>
      <c r="G159" s="3">
        <v>506.72</v>
      </c>
      <c r="H159" s="4">
        <v>7873700</v>
      </c>
      <c r="L159" s="2">
        <v>45777</v>
      </c>
      <c r="M159" s="3">
        <v>506.72</v>
      </c>
    </row>
    <row r="160" spans="2:13" ht="19" x14ac:dyDescent="0.25">
      <c r="B160" s="2">
        <v>45776</v>
      </c>
      <c r="C160" s="3">
        <v>504.54</v>
      </c>
      <c r="D160" s="3">
        <v>510.55</v>
      </c>
      <c r="E160" s="3">
        <v>504.26</v>
      </c>
      <c r="F160" s="3">
        <v>509.49</v>
      </c>
      <c r="G160" s="3">
        <v>506.47</v>
      </c>
      <c r="H160" s="4">
        <v>6525500</v>
      </c>
      <c r="L160" s="2">
        <v>45776</v>
      </c>
      <c r="M160" s="3">
        <v>506.47</v>
      </c>
    </row>
    <row r="161" spans="2:13" ht="19" x14ac:dyDescent="0.25">
      <c r="B161" s="2">
        <v>45775</v>
      </c>
      <c r="C161" s="3">
        <v>506.81</v>
      </c>
      <c r="D161" s="3">
        <v>508.74</v>
      </c>
      <c r="E161" s="3">
        <v>500.96</v>
      </c>
      <c r="F161" s="3">
        <v>506.42</v>
      </c>
      <c r="G161" s="3">
        <v>503.42</v>
      </c>
      <c r="H161" s="4">
        <v>4210000</v>
      </c>
      <c r="L161" s="2">
        <v>45775</v>
      </c>
      <c r="M161" s="3">
        <v>503.42</v>
      </c>
    </row>
    <row r="162" spans="2:13" ht="19" x14ac:dyDescent="0.25">
      <c r="B162" s="2">
        <v>45772</v>
      </c>
      <c r="C162" s="3">
        <v>502.44</v>
      </c>
      <c r="D162" s="3">
        <v>506.52</v>
      </c>
      <c r="E162" s="3">
        <v>499.75</v>
      </c>
      <c r="F162" s="3">
        <v>506.11</v>
      </c>
      <c r="G162" s="3">
        <v>503.11</v>
      </c>
      <c r="H162" s="4">
        <v>6933400</v>
      </c>
      <c r="L162" s="2">
        <v>45772</v>
      </c>
      <c r="M162" s="3">
        <v>503.11</v>
      </c>
    </row>
    <row r="163" spans="2:13" ht="19" x14ac:dyDescent="0.25">
      <c r="B163" s="2">
        <v>45771</v>
      </c>
      <c r="C163" s="3">
        <v>493.26</v>
      </c>
      <c r="D163" s="3">
        <v>503</v>
      </c>
      <c r="E163" s="3">
        <v>492.22</v>
      </c>
      <c r="F163" s="3">
        <v>502.41</v>
      </c>
      <c r="G163" s="3">
        <v>499.44</v>
      </c>
      <c r="H163" s="4">
        <v>6184300</v>
      </c>
      <c r="L163" s="2">
        <v>45771</v>
      </c>
      <c r="M163" s="3">
        <v>499.44</v>
      </c>
    </row>
    <row r="164" spans="2:13" ht="19" x14ac:dyDescent="0.25">
      <c r="B164" s="2">
        <v>45770</v>
      </c>
      <c r="C164" s="3">
        <v>496.69</v>
      </c>
      <c r="D164" s="3">
        <v>501.18</v>
      </c>
      <c r="E164" s="3">
        <v>490.7</v>
      </c>
      <c r="F164" s="3">
        <v>492.07</v>
      </c>
      <c r="G164" s="3">
        <v>489.16</v>
      </c>
      <c r="H164" s="4">
        <v>8047600</v>
      </c>
      <c r="L164" s="2">
        <v>45770</v>
      </c>
      <c r="M164" s="3">
        <v>489.16</v>
      </c>
    </row>
    <row r="165" spans="2:13" ht="19" x14ac:dyDescent="0.25">
      <c r="B165" s="2">
        <v>45769</v>
      </c>
      <c r="C165" s="3">
        <v>478.07</v>
      </c>
      <c r="D165" s="3">
        <v>486.48</v>
      </c>
      <c r="E165" s="3">
        <v>477.19</v>
      </c>
      <c r="F165" s="3">
        <v>484.29</v>
      </c>
      <c r="G165" s="3">
        <v>481.42</v>
      </c>
      <c r="H165" s="4">
        <v>6236300</v>
      </c>
      <c r="L165" s="2">
        <v>45769</v>
      </c>
      <c r="M165" s="3">
        <v>481.42</v>
      </c>
    </row>
    <row r="166" spans="2:13" ht="19" x14ac:dyDescent="0.25">
      <c r="B166" s="2">
        <v>45768</v>
      </c>
      <c r="C166" s="3">
        <v>479.02</v>
      </c>
      <c r="D166" s="3">
        <v>479.49</v>
      </c>
      <c r="E166" s="3">
        <v>467.33</v>
      </c>
      <c r="F166" s="3">
        <v>472.37</v>
      </c>
      <c r="G166" s="3">
        <v>469.57</v>
      </c>
      <c r="H166" s="4">
        <v>7762500</v>
      </c>
      <c r="L166" s="2">
        <v>45768</v>
      </c>
      <c r="M166" s="3">
        <v>469.57</v>
      </c>
    </row>
    <row r="167" spans="2:13" ht="19" x14ac:dyDescent="0.25">
      <c r="B167" s="2">
        <v>45764</v>
      </c>
      <c r="C167" s="3">
        <v>484.79</v>
      </c>
      <c r="D167" s="3">
        <v>488.16</v>
      </c>
      <c r="E167" s="3">
        <v>481.5</v>
      </c>
      <c r="F167" s="3">
        <v>483.9</v>
      </c>
      <c r="G167" s="3">
        <v>481.03</v>
      </c>
      <c r="H167" s="4">
        <v>5638900</v>
      </c>
      <c r="L167" s="2">
        <v>45764</v>
      </c>
      <c r="M167" s="3">
        <v>481.03</v>
      </c>
    </row>
    <row r="168" spans="2:13" ht="19" x14ac:dyDescent="0.25">
      <c r="B168" s="2">
        <v>45763</v>
      </c>
      <c r="C168" s="3">
        <v>488.65</v>
      </c>
      <c r="D168" s="3">
        <v>491.77</v>
      </c>
      <c r="E168" s="3">
        <v>478.23</v>
      </c>
      <c r="F168" s="3">
        <v>483.23</v>
      </c>
      <c r="G168" s="3">
        <v>480.37</v>
      </c>
      <c r="H168" s="4">
        <v>6374900</v>
      </c>
      <c r="L168" s="2">
        <v>45763</v>
      </c>
      <c r="M168" s="3">
        <v>480.37</v>
      </c>
    </row>
    <row r="169" spans="2:13" ht="19" x14ac:dyDescent="0.25">
      <c r="B169" s="2">
        <v>45762</v>
      </c>
      <c r="C169" s="3">
        <v>496.03</v>
      </c>
      <c r="D169" s="3">
        <v>499.27</v>
      </c>
      <c r="E169" s="3">
        <v>493.42</v>
      </c>
      <c r="F169" s="3">
        <v>494.09</v>
      </c>
      <c r="G169" s="3">
        <v>491.16</v>
      </c>
      <c r="H169" s="4">
        <v>8200600</v>
      </c>
      <c r="L169" s="2">
        <v>45762</v>
      </c>
      <c r="M169" s="3">
        <v>491.16</v>
      </c>
    </row>
    <row r="170" spans="2:13" ht="19" x14ac:dyDescent="0.25">
      <c r="B170" s="2">
        <v>45761</v>
      </c>
      <c r="C170" s="3">
        <v>500.05</v>
      </c>
      <c r="D170" s="3">
        <v>500.26</v>
      </c>
      <c r="E170" s="3">
        <v>490.69</v>
      </c>
      <c r="F170" s="3">
        <v>495.48</v>
      </c>
      <c r="G170" s="3">
        <v>492.55</v>
      </c>
      <c r="H170" s="4">
        <v>7701500</v>
      </c>
      <c r="L170" s="2">
        <v>45761</v>
      </c>
      <c r="M170" s="3">
        <v>492.55</v>
      </c>
    </row>
    <row r="171" spans="2:13" ht="19" x14ac:dyDescent="0.25">
      <c r="B171" s="2">
        <v>45758</v>
      </c>
      <c r="C171" s="3">
        <v>480.69</v>
      </c>
      <c r="D171" s="3">
        <v>493</v>
      </c>
      <c r="E171" s="3">
        <v>478</v>
      </c>
      <c r="F171" s="3">
        <v>490.55</v>
      </c>
      <c r="G171" s="3">
        <v>487.65</v>
      </c>
      <c r="H171" s="4">
        <v>11541200</v>
      </c>
      <c r="L171" s="2">
        <v>45758</v>
      </c>
      <c r="M171" s="3">
        <v>487.65</v>
      </c>
    </row>
    <row r="172" spans="2:13" ht="19" x14ac:dyDescent="0.25">
      <c r="B172" s="2">
        <v>45757</v>
      </c>
      <c r="C172" s="3">
        <v>489.15</v>
      </c>
      <c r="D172" s="3">
        <v>490.3</v>
      </c>
      <c r="E172" s="3">
        <v>468.33</v>
      </c>
      <c r="F172" s="3">
        <v>482.06</v>
      </c>
      <c r="G172" s="3">
        <v>479.21</v>
      </c>
      <c r="H172" s="4">
        <v>16651300</v>
      </c>
      <c r="L172" s="2">
        <v>45757</v>
      </c>
      <c r="M172" s="3">
        <v>479.21</v>
      </c>
    </row>
    <row r="173" spans="2:13" ht="19" x14ac:dyDescent="0.25">
      <c r="B173" s="2">
        <v>45756</v>
      </c>
      <c r="C173" s="3">
        <v>453.49</v>
      </c>
      <c r="D173" s="3">
        <v>502.06</v>
      </c>
      <c r="E173" s="3">
        <v>453.16</v>
      </c>
      <c r="F173" s="3">
        <v>499.1</v>
      </c>
      <c r="G173" s="3">
        <v>496.14</v>
      </c>
      <c r="H173" s="4">
        <v>29286600</v>
      </c>
      <c r="L173" s="2">
        <v>45756</v>
      </c>
      <c r="M173" s="3">
        <v>496.14</v>
      </c>
    </row>
    <row r="174" spans="2:13" ht="19" x14ac:dyDescent="0.25">
      <c r="B174" s="2">
        <v>45755</v>
      </c>
      <c r="C174" s="3">
        <v>479.68</v>
      </c>
      <c r="D174" s="3">
        <v>482.49</v>
      </c>
      <c r="E174" s="3">
        <v>449.6</v>
      </c>
      <c r="F174" s="3">
        <v>456.74</v>
      </c>
      <c r="G174" s="3">
        <v>454.04</v>
      </c>
      <c r="H174" s="4">
        <v>19002700</v>
      </c>
      <c r="L174" s="2">
        <v>45755</v>
      </c>
      <c r="M174" s="3">
        <v>454.04</v>
      </c>
    </row>
    <row r="175" spans="2:13" ht="19" x14ac:dyDescent="0.25">
      <c r="B175" s="2">
        <v>45754</v>
      </c>
      <c r="C175" s="3">
        <v>449.54</v>
      </c>
      <c r="D175" s="3">
        <v>480.76</v>
      </c>
      <c r="E175" s="3">
        <v>442.8</v>
      </c>
      <c r="F175" s="3">
        <v>463.56</v>
      </c>
      <c r="G175" s="3">
        <v>460.82</v>
      </c>
      <c r="H175" s="4">
        <v>31285300</v>
      </c>
      <c r="L175" s="2">
        <v>45754</v>
      </c>
      <c r="M175" s="3">
        <v>460.82</v>
      </c>
    </row>
    <row r="176" spans="2:13" ht="19" x14ac:dyDescent="0.25">
      <c r="B176" s="2">
        <v>45751</v>
      </c>
      <c r="C176" s="3">
        <v>481.28</v>
      </c>
      <c r="D176" s="3">
        <v>483.3</v>
      </c>
      <c r="E176" s="3">
        <v>464.24</v>
      </c>
      <c r="F176" s="3">
        <v>465.52</v>
      </c>
      <c r="G176" s="3">
        <v>462.76</v>
      </c>
      <c r="H176" s="4">
        <v>30966500</v>
      </c>
      <c r="L176" s="2">
        <v>45751</v>
      </c>
      <c r="M176" s="3">
        <v>462.76</v>
      </c>
    </row>
    <row r="177" spans="2:13" ht="19" x14ac:dyDescent="0.25">
      <c r="B177" s="2">
        <v>45750</v>
      </c>
      <c r="C177" s="3">
        <v>501</v>
      </c>
      <c r="D177" s="3">
        <v>503.66</v>
      </c>
      <c r="E177" s="3">
        <v>493.5</v>
      </c>
      <c r="F177" s="3">
        <v>494.16</v>
      </c>
      <c r="G177" s="3">
        <v>491.23</v>
      </c>
      <c r="H177" s="4">
        <v>16226000</v>
      </c>
      <c r="L177" s="2">
        <v>45750</v>
      </c>
      <c r="M177" s="3">
        <v>491.23</v>
      </c>
    </row>
    <row r="178" spans="2:13" ht="19" x14ac:dyDescent="0.25">
      <c r="B178" s="2">
        <v>45749</v>
      </c>
      <c r="C178" s="3">
        <v>510.14</v>
      </c>
      <c r="D178" s="3">
        <v>521.49</v>
      </c>
      <c r="E178" s="3">
        <v>509.93</v>
      </c>
      <c r="F178" s="3">
        <v>518.91</v>
      </c>
      <c r="G178" s="3">
        <v>515.84</v>
      </c>
      <c r="H178" s="4">
        <v>6308600</v>
      </c>
      <c r="L178" s="2">
        <v>45749</v>
      </c>
      <c r="M178" s="3">
        <v>515.84</v>
      </c>
    </row>
    <row r="179" spans="2:13" ht="19" x14ac:dyDescent="0.25">
      <c r="B179" s="2">
        <v>45748</v>
      </c>
      <c r="C179" s="3">
        <v>512.36</v>
      </c>
      <c r="D179" s="3">
        <v>517.35</v>
      </c>
      <c r="E179" s="3">
        <v>508.88</v>
      </c>
      <c r="F179" s="3">
        <v>515.79999999999995</v>
      </c>
      <c r="G179" s="3">
        <v>512.75</v>
      </c>
      <c r="H179" s="4">
        <v>7697000</v>
      </c>
      <c r="L179" s="2">
        <v>45748</v>
      </c>
      <c r="M179" s="3">
        <v>512.75</v>
      </c>
    </row>
    <row r="180" spans="2:13" ht="19" x14ac:dyDescent="0.25">
      <c r="B180" s="2">
        <v>45747</v>
      </c>
      <c r="C180" s="3">
        <v>505.31</v>
      </c>
      <c r="D180" s="3">
        <v>515.33000000000004</v>
      </c>
      <c r="E180" s="3">
        <v>502.64</v>
      </c>
      <c r="F180" s="3">
        <v>513.91</v>
      </c>
      <c r="G180" s="3">
        <v>510.87</v>
      </c>
      <c r="H180" s="4">
        <v>8196700</v>
      </c>
      <c r="L180" s="2">
        <v>45747</v>
      </c>
      <c r="M180" s="3">
        <v>510.87</v>
      </c>
    </row>
    <row r="181" spans="2:13" ht="19" x14ac:dyDescent="0.25">
      <c r="B181" s="2">
        <v>45744</v>
      </c>
      <c r="C181" s="3">
        <v>519.76</v>
      </c>
      <c r="D181" s="3">
        <v>520.46</v>
      </c>
      <c r="E181" s="3">
        <v>510.16</v>
      </c>
      <c r="F181" s="3">
        <v>510.8</v>
      </c>
      <c r="G181" s="3">
        <v>507.78</v>
      </c>
      <c r="H181" s="4">
        <v>5831800</v>
      </c>
      <c r="L181" s="2">
        <v>45744</v>
      </c>
      <c r="M181" s="3">
        <v>507.78</v>
      </c>
    </row>
    <row r="182" spans="2:13" ht="19" x14ac:dyDescent="0.25">
      <c r="B182" s="2">
        <v>45743</v>
      </c>
      <c r="C182" s="3">
        <v>521.29</v>
      </c>
      <c r="D182" s="3">
        <v>524.67999999999995</v>
      </c>
      <c r="E182" s="3">
        <v>519.23</v>
      </c>
      <c r="F182" s="3">
        <v>521.21</v>
      </c>
      <c r="G182" s="3">
        <v>518.12</v>
      </c>
      <c r="H182" s="4">
        <v>5534900</v>
      </c>
      <c r="L182" s="2">
        <v>45743</v>
      </c>
      <c r="M182" s="3">
        <v>518.12</v>
      </c>
    </row>
    <row r="183" spans="2:13" ht="19" x14ac:dyDescent="0.25">
      <c r="B183" s="2">
        <v>45742</v>
      </c>
      <c r="C183" s="3">
        <v>530.55999999999995</v>
      </c>
      <c r="D183" s="3">
        <v>531.41</v>
      </c>
      <c r="E183" s="3">
        <v>523.1</v>
      </c>
      <c r="F183" s="3">
        <v>524.46</v>
      </c>
      <c r="G183" s="3">
        <v>519.54999999999995</v>
      </c>
      <c r="H183" s="4">
        <v>4410200</v>
      </c>
      <c r="L183" s="2">
        <v>45742</v>
      </c>
      <c r="M183" s="3">
        <v>519.54999999999995</v>
      </c>
    </row>
    <row r="184" spans="2:13" ht="19" x14ac:dyDescent="0.25">
      <c r="B184" s="2">
        <v>45741</v>
      </c>
      <c r="C184" s="3">
        <v>530.59</v>
      </c>
      <c r="D184" s="3">
        <v>531.6</v>
      </c>
      <c r="E184" s="3">
        <v>529.11</v>
      </c>
      <c r="F184" s="3">
        <v>530.65</v>
      </c>
      <c r="G184" s="3">
        <v>525.69000000000005</v>
      </c>
      <c r="H184" s="4">
        <v>6260200</v>
      </c>
      <c r="L184" s="2">
        <v>45741</v>
      </c>
      <c r="M184" s="3">
        <v>525.69000000000005</v>
      </c>
    </row>
    <row r="185" spans="2:13" ht="19" x14ac:dyDescent="0.25">
      <c r="B185" s="2">
        <v>45740</v>
      </c>
      <c r="C185" s="3">
        <v>526.48</v>
      </c>
      <c r="D185" s="3">
        <v>530.39</v>
      </c>
      <c r="E185" s="3">
        <v>525.88</v>
      </c>
      <c r="F185" s="3">
        <v>529.39</v>
      </c>
      <c r="G185" s="3">
        <v>524.44000000000005</v>
      </c>
      <c r="H185" s="4">
        <v>22376300</v>
      </c>
      <c r="L185" s="2">
        <v>45740</v>
      </c>
      <c r="M185" s="3">
        <v>524.44000000000005</v>
      </c>
    </row>
    <row r="186" spans="2:13" ht="19" x14ac:dyDescent="0.25">
      <c r="B186" s="2">
        <v>45737</v>
      </c>
      <c r="C186" s="3">
        <v>515.79</v>
      </c>
      <c r="D186" s="3">
        <v>520.95000000000005</v>
      </c>
      <c r="E186" s="3">
        <v>514.66</v>
      </c>
      <c r="F186" s="3">
        <v>520.26</v>
      </c>
      <c r="G186" s="3">
        <v>515.39</v>
      </c>
      <c r="H186" s="4">
        <v>5059000</v>
      </c>
      <c r="L186" s="2">
        <v>45737</v>
      </c>
      <c r="M186" s="3">
        <v>515.39</v>
      </c>
    </row>
    <row r="187" spans="2:13" ht="19" x14ac:dyDescent="0.25">
      <c r="B187" s="2">
        <v>45736</v>
      </c>
      <c r="C187" s="3">
        <v>517.96</v>
      </c>
      <c r="D187" s="3">
        <v>524.62</v>
      </c>
      <c r="E187" s="3">
        <v>517.32000000000005</v>
      </c>
      <c r="F187" s="3">
        <v>520.13</v>
      </c>
      <c r="G187" s="3">
        <v>515.26</v>
      </c>
      <c r="H187" s="4">
        <v>6029700</v>
      </c>
      <c r="L187" s="2">
        <v>45736</v>
      </c>
      <c r="M187" s="3">
        <v>515.26</v>
      </c>
    </row>
    <row r="188" spans="2:13" ht="19" x14ac:dyDescent="0.25">
      <c r="B188" s="2">
        <v>45735</v>
      </c>
      <c r="C188" s="3">
        <v>517.54</v>
      </c>
      <c r="D188" s="3">
        <v>524.96</v>
      </c>
      <c r="E188" s="3">
        <v>516.41999999999996</v>
      </c>
      <c r="F188" s="3">
        <v>521.33000000000004</v>
      </c>
      <c r="G188" s="3">
        <v>516.45000000000005</v>
      </c>
      <c r="H188" s="4">
        <v>5373900</v>
      </c>
      <c r="L188" s="2">
        <v>45735</v>
      </c>
      <c r="M188" s="3">
        <v>516.45000000000005</v>
      </c>
    </row>
    <row r="189" spans="2:13" ht="19" x14ac:dyDescent="0.25">
      <c r="B189" s="2">
        <v>45734</v>
      </c>
      <c r="C189" s="3">
        <v>519.32000000000005</v>
      </c>
      <c r="D189" s="3">
        <v>519.52</v>
      </c>
      <c r="E189" s="3">
        <v>514.07000000000005</v>
      </c>
      <c r="F189" s="3">
        <v>515.91</v>
      </c>
      <c r="G189" s="3">
        <v>511.08</v>
      </c>
      <c r="H189" s="4">
        <v>6010600</v>
      </c>
      <c r="L189" s="2">
        <v>45734</v>
      </c>
      <c r="M189" s="3">
        <v>511.08</v>
      </c>
    </row>
    <row r="190" spans="2:13" ht="19" x14ac:dyDescent="0.25">
      <c r="B190" s="2">
        <v>45733</v>
      </c>
      <c r="C190" s="3">
        <v>517.45000000000005</v>
      </c>
      <c r="D190" s="3">
        <v>523.84</v>
      </c>
      <c r="E190" s="3">
        <v>517.08000000000004</v>
      </c>
      <c r="F190" s="3">
        <v>521.41</v>
      </c>
      <c r="G190" s="3">
        <v>516.53</v>
      </c>
      <c r="H190" s="4">
        <v>6269800</v>
      </c>
      <c r="L190" s="2">
        <v>45733</v>
      </c>
      <c r="M190" s="3">
        <v>516.53</v>
      </c>
    </row>
    <row r="191" spans="2:13" ht="19" x14ac:dyDescent="0.25">
      <c r="B191" s="2">
        <v>45730</v>
      </c>
      <c r="C191" s="3">
        <v>511.28</v>
      </c>
      <c r="D191" s="3">
        <v>518.41999999999996</v>
      </c>
      <c r="E191" s="3">
        <v>510.84</v>
      </c>
      <c r="F191" s="3">
        <v>517.46</v>
      </c>
      <c r="G191" s="3">
        <v>512.62</v>
      </c>
      <c r="H191" s="4">
        <v>7412300</v>
      </c>
      <c r="L191" s="2">
        <v>45730</v>
      </c>
      <c r="M191" s="3">
        <v>512.62</v>
      </c>
    </row>
    <row r="192" spans="2:13" ht="19" x14ac:dyDescent="0.25">
      <c r="B192" s="2">
        <v>45729</v>
      </c>
      <c r="C192" s="3">
        <v>513.51</v>
      </c>
      <c r="D192" s="3">
        <v>514.05999999999995</v>
      </c>
      <c r="E192" s="3">
        <v>505.42</v>
      </c>
      <c r="F192" s="3">
        <v>507.05</v>
      </c>
      <c r="G192" s="3">
        <v>502.31</v>
      </c>
      <c r="H192" s="4">
        <v>21650000</v>
      </c>
      <c r="L192" s="2">
        <v>45729</v>
      </c>
      <c r="M192" s="3">
        <v>502.31</v>
      </c>
    </row>
    <row r="193" spans="2:13" ht="19" x14ac:dyDescent="0.25">
      <c r="B193" s="2">
        <v>45728</v>
      </c>
      <c r="C193" s="3">
        <v>516.89</v>
      </c>
      <c r="D193" s="3">
        <v>517.74</v>
      </c>
      <c r="E193" s="3">
        <v>509.1</v>
      </c>
      <c r="F193" s="3">
        <v>513.76</v>
      </c>
      <c r="G193" s="3">
        <v>508.95</v>
      </c>
      <c r="H193" s="4">
        <v>8590600</v>
      </c>
      <c r="L193" s="2">
        <v>45728</v>
      </c>
      <c r="M193" s="3">
        <v>508.95</v>
      </c>
    </row>
    <row r="194" spans="2:13" ht="19" x14ac:dyDescent="0.25">
      <c r="B194" s="2">
        <v>45727</v>
      </c>
      <c r="C194" s="3">
        <v>514.33000000000004</v>
      </c>
      <c r="D194" s="3">
        <v>517.53</v>
      </c>
      <c r="E194" s="3">
        <v>507.53</v>
      </c>
      <c r="F194" s="3">
        <v>511.28</v>
      </c>
      <c r="G194" s="3">
        <v>506.5</v>
      </c>
      <c r="H194" s="4">
        <v>11208900</v>
      </c>
      <c r="L194" s="2">
        <v>45727</v>
      </c>
      <c r="M194" s="3">
        <v>506.5</v>
      </c>
    </row>
    <row r="195" spans="2:13" ht="19" x14ac:dyDescent="0.25">
      <c r="B195" s="2">
        <v>45726</v>
      </c>
      <c r="C195" s="3">
        <v>521.9</v>
      </c>
      <c r="D195" s="3">
        <v>523.70000000000005</v>
      </c>
      <c r="E195" s="3">
        <v>510.83</v>
      </c>
      <c r="F195" s="3">
        <v>515.51</v>
      </c>
      <c r="G195" s="3">
        <v>510.69</v>
      </c>
      <c r="H195" s="4">
        <v>11176900</v>
      </c>
      <c r="L195" s="2">
        <v>45726</v>
      </c>
      <c r="M195" s="3">
        <v>510.69</v>
      </c>
    </row>
    <row r="196" spans="2:13" ht="19" x14ac:dyDescent="0.25">
      <c r="B196" s="2">
        <v>45723</v>
      </c>
      <c r="C196" s="3">
        <v>524.9</v>
      </c>
      <c r="D196" s="3">
        <v>530.88</v>
      </c>
      <c r="E196" s="3">
        <v>520.13</v>
      </c>
      <c r="F196" s="3">
        <v>529.51</v>
      </c>
      <c r="G196" s="3">
        <v>524.55999999999995</v>
      </c>
      <c r="H196" s="4">
        <v>7308300</v>
      </c>
      <c r="L196" s="2">
        <v>45723</v>
      </c>
      <c r="M196" s="3">
        <v>524.55999999999995</v>
      </c>
    </row>
    <row r="197" spans="2:13" ht="19" x14ac:dyDescent="0.25">
      <c r="B197" s="2">
        <v>45722</v>
      </c>
      <c r="C197" s="3">
        <v>529.19000000000005</v>
      </c>
      <c r="D197" s="3">
        <v>533.42999999999995</v>
      </c>
      <c r="E197" s="3">
        <v>524.22</v>
      </c>
      <c r="F197" s="3">
        <v>526.66999999999996</v>
      </c>
      <c r="G197" s="3">
        <v>521.74</v>
      </c>
      <c r="H197" s="4">
        <v>7228900</v>
      </c>
      <c r="L197" s="2">
        <v>45722</v>
      </c>
      <c r="M197" s="3">
        <v>521.74</v>
      </c>
    </row>
    <row r="198" spans="2:13" ht="19" x14ac:dyDescent="0.25">
      <c r="B198" s="2">
        <v>45721</v>
      </c>
      <c r="C198" s="3">
        <v>530.25</v>
      </c>
      <c r="D198" s="3">
        <v>537.79</v>
      </c>
      <c r="E198" s="3">
        <v>526.92999999999995</v>
      </c>
      <c r="F198" s="3">
        <v>536.4</v>
      </c>
      <c r="G198" s="3">
        <v>531.38</v>
      </c>
      <c r="H198" s="4">
        <v>6221700</v>
      </c>
      <c r="L198" s="2">
        <v>45721</v>
      </c>
      <c r="M198" s="3">
        <v>531.38</v>
      </c>
    </row>
    <row r="199" spans="2:13" ht="19" x14ac:dyDescent="0.25">
      <c r="B199" s="2">
        <v>45720</v>
      </c>
      <c r="C199" s="3">
        <v>533.05999999999995</v>
      </c>
      <c r="D199" s="3">
        <v>538.28</v>
      </c>
      <c r="E199" s="3">
        <v>526.16</v>
      </c>
      <c r="F199" s="3">
        <v>530.45000000000005</v>
      </c>
      <c r="G199" s="3">
        <v>525.49</v>
      </c>
      <c r="H199" s="4">
        <v>10477400</v>
      </c>
      <c r="L199" s="2">
        <v>45720</v>
      </c>
      <c r="M199" s="3">
        <v>525.49</v>
      </c>
    </row>
    <row r="200" spans="2:13" ht="19" x14ac:dyDescent="0.25">
      <c r="B200" s="2">
        <v>45719</v>
      </c>
      <c r="C200" s="3">
        <v>548.20000000000005</v>
      </c>
      <c r="D200" s="3">
        <v>549.29</v>
      </c>
      <c r="E200" s="3">
        <v>533.25</v>
      </c>
      <c r="F200" s="3">
        <v>536.91999999999996</v>
      </c>
      <c r="G200" s="3">
        <v>531.9</v>
      </c>
      <c r="H200" s="4">
        <v>7290000</v>
      </c>
      <c r="L200" s="2">
        <v>45719</v>
      </c>
      <c r="M200" s="3">
        <v>531.9</v>
      </c>
    </row>
    <row r="201" spans="2:13" ht="19" x14ac:dyDescent="0.25">
      <c r="B201" s="2">
        <v>45716</v>
      </c>
      <c r="C201" s="3">
        <v>538.41999999999996</v>
      </c>
      <c r="D201" s="3">
        <v>546.89</v>
      </c>
      <c r="E201" s="3">
        <v>535.58000000000004</v>
      </c>
      <c r="F201" s="3">
        <v>546.33000000000004</v>
      </c>
      <c r="G201" s="3">
        <v>541.22</v>
      </c>
      <c r="H201" s="4">
        <v>7328100</v>
      </c>
      <c r="L201" s="2">
        <v>45716</v>
      </c>
      <c r="M201" s="3">
        <v>541.22</v>
      </c>
    </row>
    <row r="202" spans="2:13" ht="19" x14ac:dyDescent="0.25">
      <c r="B202" s="2">
        <v>45715</v>
      </c>
      <c r="C202" s="3">
        <v>548.83000000000004</v>
      </c>
      <c r="D202" s="3">
        <v>549.88</v>
      </c>
      <c r="E202" s="3">
        <v>537.6</v>
      </c>
      <c r="F202" s="3">
        <v>537.97</v>
      </c>
      <c r="G202" s="3">
        <v>532.94000000000005</v>
      </c>
      <c r="H202" s="4">
        <v>5521400</v>
      </c>
      <c r="L202" s="2">
        <v>45715</v>
      </c>
      <c r="M202" s="3">
        <v>532.94000000000005</v>
      </c>
    </row>
    <row r="203" spans="2:13" ht="19" x14ac:dyDescent="0.25">
      <c r="B203" s="2">
        <v>45714</v>
      </c>
      <c r="C203" s="3">
        <v>548.01</v>
      </c>
      <c r="D203" s="3">
        <v>551.35</v>
      </c>
      <c r="E203" s="3">
        <v>544.25</v>
      </c>
      <c r="F203" s="3">
        <v>546.75</v>
      </c>
      <c r="G203" s="3">
        <v>541.63</v>
      </c>
      <c r="H203" s="4">
        <v>4180800</v>
      </c>
      <c r="L203" s="2">
        <v>45714</v>
      </c>
      <c r="M203" s="3">
        <v>541.63</v>
      </c>
    </row>
    <row r="204" spans="2:13" ht="19" x14ac:dyDescent="0.25">
      <c r="B204" s="2">
        <v>45713</v>
      </c>
      <c r="C204" s="3">
        <v>549.17999999999995</v>
      </c>
      <c r="D204" s="3">
        <v>549.77</v>
      </c>
      <c r="E204" s="3">
        <v>542.16999999999996</v>
      </c>
      <c r="F204" s="3">
        <v>546.41</v>
      </c>
      <c r="G204" s="3">
        <v>541.29999999999995</v>
      </c>
      <c r="H204" s="4">
        <v>5491500</v>
      </c>
      <c r="L204" s="2">
        <v>45713</v>
      </c>
      <c r="M204" s="3">
        <v>541.29999999999995</v>
      </c>
    </row>
    <row r="205" spans="2:13" ht="19" x14ac:dyDescent="0.25">
      <c r="B205" s="2">
        <v>45712</v>
      </c>
      <c r="C205" s="3">
        <v>553.61</v>
      </c>
      <c r="D205" s="3">
        <v>554.51</v>
      </c>
      <c r="E205" s="3">
        <v>548.51</v>
      </c>
      <c r="F205" s="3">
        <v>549.14</v>
      </c>
      <c r="G205" s="3">
        <v>544</v>
      </c>
      <c r="H205" s="4">
        <v>4772300</v>
      </c>
      <c r="L205" s="2">
        <v>45712</v>
      </c>
      <c r="M205" s="3">
        <v>544</v>
      </c>
    </row>
    <row r="206" spans="2:13" ht="19" x14ac:dyDescent="0.25">
      <c r="B206" s="2">
        <v>45709</v>
      </c>
      <c r="C206" s="3">
        <v>561.1</v>
      </c>
      <c r="D206" s="3">
        <v>561.20000000000005</v>
      </c>
      <c r="E206" s="3">
        <v>551.27</v>
      </c>
      <c r="F206" s="3">
        <v>551.75</v>
      </c>
      <c r="G206" s="3">
        <v>546.59</v>
      </c>
      <c r="H206" s="4">
        <v>6148700</v>
      </c>
      <c r="L206" s="2">
        <v>45709</v>
      </c>
      <c r="M206" s="3">
        <v>546.59</v>
      </c>
    </row>
    <row r="207" spans="2:13" ht="19" x14ac:dyDescent="0.25">
      <c r="B207" s="2">
        <v>45708</v>
      </c>
      <c r="C207" s="3">
        <v>562.39</v>
      </c>
      <c r="D207" s="3">
        <v>562.48</v>
      </c>
      <c r="E207" s="3">
        <v>558.22</v>
      </c>
      <c r="F207" s="3">
        <v>561.29999999999995</v>
      </c>
      <c r="G207" s="3">
        <v>556.04999999999995</v>
      </c>
      <c r="H207" s="4">
        <v>4446800</v>
      </c>
      <c r="L207" s="2">
        <v>45708</v>
      </c>
      <c r="M207" s="3">
        <v>556.04999999999995</v>
      </c>
    </row>
    <row r="208" spans="2:13" ht="19" x14ac:dyDescent="0.25">
      <c r="B208" s="2">
        <v>45707</v>
      </c>
      <c r="C208" s="3">
        <v>561.02</v>
      </c>
      <c r="D208" s="3">
        <v>563.91999999999996</v>
      </c>
      <c r="E208" s="3">
        <v>560.53</v>
      </c>
      <c r="F208" s="3">
        <v>563.66999999999996</v>
      </c>
      <c r="G208" s="3">
        <v>558.4</v>
      </c>
      <c r="H208" s="4">
        <v>3857600</v>
      </c>
      <c r="L208" s="2">
        <v>45707</v>
      </c>
      <c r="M208" s="3">
        <v>558.4</v>
      </c>
    </row>
    <row r="209" spans="2:13" ht="19" x14ac:dyDescent="0.25">
      <c r="B209" s="2">
        <v>45706</v>
      </c>
      <c r="C209" s="3">
        <v>561.79999999999995</v>
      </c>
      <c r="D209" s="3">
        <v>562.30999999999995</v>
      </c>
      <c r="E209" s="3">
        <v>559.49</v>
      </c>
      <c r="F209" s="3">
        <v>562.30999999999995</v>
      </c>
      <c r="G209" s="3">
        <v>557.04999999999995</v>
      </c>
      <c r="H209" s="4">
        <v>3844900</v>
      </c>
      <c r="L209" s="2">
        <v>45706</v>
      </c>
      <c r="M209" s="3">
        <v>557.04999999999995</v>
      </c>
    </row>
    <row r="210" spans="2:13" ht="19" x14ac:dyDescent="0.25">
      <c r="B210" s="2">
        <v>45702</v>
      </c>
      <c r="C210" s="3">
        <v>560.9</v>
      </c>
      <c r="D210" s="3">
        <v>561.86</v>
      </c>
      <c r="E210" s="3">
        <v>560.07000000000005</v>
      </c>
      <c r="F210" s="3">
        <v>560.69000000000005</v>
      </c>
      <c r="G210" s="3">
        <v>555.44000000000005</v>
      </c>
      <c r="H210" s="4">
        <v>3380600</v>
      </c>
      <c r="L210" s="2">
        <v>45702</v>
      </c>
      <c r="M210" s="3">
        <v>555.44000000000005</v>
      </c>
    </row>
    <row r="211" spans="2:13" ht="19" x14ac:dyDescent="0.25">
      <c r="B211" s="2">
        <v>45701</v>
      </c>
      <c r="C211" s="3">
        <v>555.87</v>
      </c>
      <c r="D211" s="3">
        <v>560.88</v>
      </c>
      <c r="E211" s="3">
        <v>554.70000000000005</v>
      </c>
      <c r="F211" s="3">
        <v>560.66999999999996</v>
      </c>
      <c r="G211" s="3">
        <v>555.41999999999996</v>
      </c>
      <c r="H211" s="4">
        <v>3388500</v>
      </c>
      <c r="L211" s="2">
        <v>45701</v>
      </c>
      <c r="M211" s="3">
        <v>555.41999999999996</v>
      </c>
    </row>
    <row r="212" spans="2:13" ht="19" x14ac:dyDescent="0.25">
      <c r="B212" s="2">
        <v>45700</v>
      </c>
      <c r="C212" s="3">
        <v>551</v>
      </c>
      <c r="D212" s="3">
        <v>555.91999999999996</v>
      </c>
      <c r="E212" s="3">
        <v>550.39</v>
      </c>
      <c r="F212" s="3">
        <v>554.80999999999995</v>
      </c>
      <c r="G212" s="3">
        <v>549.62</v>
      </c>
      <c r="H212" s="4">
        <v>3579500</v>
      </c>
      <c r="L212" s="2">
        <v>45700</v>
      </c>
      <c r="M212" s="3">
        <v>549.62</v>
      </c>
    </row>
    <row r="213" spans="2:13" ht="19" x14ac:dyDescent="0.25">
      <c r="B213" s="2">
        <v>45699</v>
      </c>
      <c r="C213" s="3">
        <v>554.1</v>
      </c>
      <c r="D213" s="3">
        <v>557.12</v>
      </c>
      <c r="E213" s="3">
        <v>553.99</v>
      </c>
      <c r="F213" s="3">
        <v>556.65</v>
      </c>
      <c r="G213" s="3">
        <v>551.44000000000005</v>
      </c>
      <c r="H213" s="4">
        <v>2752900</v>
      </c>
      <c r="L213" s="2">
        <v>45699</v>
      </c>
      <c r="M213" s="3">
        <v>551.44000000000005</v>
      </c>
    </row>
    <row r="214" spans="2:13" ht="19" x14ac:dyDescent="0.25">
      <c r="B214" s="2">
        <v>45698</v>
      </c>
      <c r="C214" s="3">
        <v>555.44000000000005</v>
      </c>
      <c r="D214" s="3">
        <v>556.78</v>
      </c>
      <c r="E214" s="3">
        <v>554.24</v>
      </c>
      <c r="F214" s="3">
        <v>556.15</v>
      </c>
      <c r="G214" s="3">
        <v>550.95000000000005</v>
      </c>
      <c r="H214" s="4">
        <v>3517600</v>
      </c>
      <c r="L214" s="2">
        <v>45698</v>
      </c>
      <c r="M214" s="3">
        <v>550.95000000000005</v>
      </c>
    </row>
    <row r="215" spans="2:13" ht="19" x14ac:dyDescent="0.25">
      <c r="B215" s="2">
        <v>45695</v>
      </c>
      <c r="C215" s="3">
        <v>558.1</v>
      </c>
      <c r="D215" s="3">
        <v>559.20000000000005</v>
      </c>
      <c r="E215" s="3">
        <v>551.79</v>
      </c>
      <c r="F215" s="3">
        <v>552.20000000000005</v>
      </c>
      <c r="G215" s="3">
        <v>547.03</v>
      </c>
      <c r="H215" s="4">
        <v>10161600</v>
      </c>
      <c r="L215" s="2">
        <v>45695</v>
      </c>
      <c r="M215" s="3">
        <v>547.03</v>
      </c>
    </row>
    <row r="216" spans="2:13" ht="19" x14ac:dyDescent="0.25">
      <c r="B216" s="2">
        <v>45694</v>
      </c>
      <c r="C216" s="3">
        <v>557.29</v>
      </c>
      <c r="D216" s="3">
        <v>557.65</v>
      </c>
      <c r="E216" s="3">
        <v>554.19000000000005</v>
      </c>
      <c r="F216" s="3">
        <v>557.62</v>
      </c>
      <c r="G216" s="3">
        <v>552.4</v>
      </c>
      <c r="H216" s="4">
        <v>3606300</v>
      </c>
      <c r="L216" s="2">
        <v>45694</v>
      </c>
      <c r="M216" s="3">
        <v>552.4</v>
      </c>
    </row>
    <row r="217" spans="2:13" ht="19" x14ac:dyDescent="0.25">
      <c r="B217" s="2">
        <v>45693</v>
      </c>
      <c r="C217" s="3">
        <v>552.34</v>
      </c>
      <c r="D217" s="3">
        <v>555.73</v>
      </c>
      <c r="E217" s="3">
        <v>550.41</v>
      </c>
      <c r="F217" s="3">
        <v>555.62</v>
      </c>
      <c r="G217" s="3">
        <v>550.41999999999996</v>
      </c>
      <c r="H217" s="4">
        <v>3424200</v>
      </c>
      <c r="L217" s="2">
        <v>45693</v>
      </c>
      <c r="M217" s="3">
        <v>550.41999999999996</v>
      </c>
    </row>
    <row r="218" spans="2:13" ht="19" x14ac:dyDescent="0.25">
      <c r="B218" s="2">
        <v>45692</v>
      </c>
      <c r="C218" s="3">
        <v>549.70000000000005</v>
      </c>
      <c r="D218" s="3">
        <v>553.83000000000004</v>
      </c>
      <c r="E218" s="3">
        <v>549.23</v>
      </c>
      <c r="F218" s="3">
        <v>553.35</v>
      </c>
      <c r="G218" s="3">
        <v>548.16999999999996</v>
      </c>
      <c r="H218" s="4">
        <v>4181400</v>
      </c>
      <c r="L218" s="2">
        <v>45692</v>
      </c>
      <c r="M218" s="3">
        <v>548.16999999999996</v>
      </c>
    </row>
    <row r="219" spans="2:13" ht="19" x14ac:dyDescent="0.25">
      <c r="B219" s="2">
        <v>45691</v>
      </c>
      <c r="C219" s="3">
        <v>544.99</v>
      </c>
      <c r="D219" s="3">
        <v>551.96</v>
      </c>
      <c r="E219" s="3">
        <v>542.98</v>
      </c>
      <c r="F219" s="3">
        <v>549.70000000000005</v>
      </c>
      <c r="G219" s="3">
        <v>544.55999999999995</v>
      </c>
      <c r="H219" s="4">
        <v>7824000</v>
      </c>
      <c r="L219" s="2">
        <v>45691</v>
      </c>
      <c r="M219" s="3">
        <v>544.55999999999995</v>
      </c>
    </row>
    <row r="220" spans="2:13" ht="19" x14ac:dyDescent="0.25">
      <c r="B220" s="2">
        <v>45688</v>
      </c>
      <c r="C220" s="3">
        <v>558.62</v>
      </c>
      <c r="D220" s="3">
        <v>560.89</v>
      </c>
      <c r="E220" s="3">
        <v>552.71</v>
      </c>
      <c r="F220" s="3">
        <v>553.33000000000004</v>
      </c>
      <c r="G220" s="3">
        <v>548.15</v>
      </c>
      <c r="H220" s="4">
        <v>6233900</v>
      </c>
      <c r="L220" s="2">
        <v>45688</v>
      </c>
      <c r="M220" s="3">
        <v>548.15</v>
      </c>
    </row>
    <row r="221" spans="2:13" ht="19" x14ac:dyDescent="0.25">
      <c r="B221" s="2">
        <v>45687</v>
      </c>
      <c r="C221" s="3">
        <v>555.37</v>
      </c>
      <c r="D221" s="3">
        <v>557.78</v>
      </c>
      <c r="E221" s="3">
        <v>552.38</v>
      </c>
      <c r="F221" s="3">
        <v>556.29999999999995</v>
      </c>
      <c r="G221" s="3">
        <v>551.1</v>
      </c>
      <c r="H221" s="4">
        <v>4296500</v>
      </c>
      <c r="L221" s="2">
        <v>45687</v>
      </c>
      <c r="M221" s="3">
        <v>551.1</v>
      </c>
    </row>
    <row r="222" spans="2:13" ht="19" x14ac:dyDescent="0.25">
      <c r="B222" s="2">
        <v>45686</v>
      </c>
      <c r="C222" s="3">
        <v>555.16999999999996</v>
      </c>
      <c r="D222" s="3">
        <v>555.5</v>
      </c>
      <c r="E222" s="3">
        <v>550.97</v>
      </c>
      <c r="F222" s="3">
        <v>553.41</v>
      </c>
      <c r="G222" s="3">
        <v>548.23</v>
      </c>
      <c r="H222" s="4">
        <v>4174500</v>
      </c>
      <c r="L222" s="2">
        <v>45686</v>
      </c>
      <c r="M222" s="3">
        <v>548.23</v>
      </c>
    </row>
    <row r="223" spans="2:13" ht="19" x14ac:dyDescent="0.25">
      <c r="B223" s="2">
        <v>45685</v>
      </c>
      <c r="C223" s="3">
        <v>552.29999999999995</v>
      </c>
      <c r="D223" s="3">
        <v>556.65</v>
      </c>
      <c r="E223" s="3">
        <v>549.22</v>
      </c>
      <c r="F223" s="3">
        <v>555.85</v>
      </c>
      <c r="G223" s="3">
        <v>550.65</v>
      </c>
      <c r="H223" s="4">
        <v>4164700</v>
      </c>
      <c r="L223" s="2">
        <v>45685</v>
      </c>
      <c r="M223" s="3">
        <v>550.65</v>
      </c>
    </row>
    <row r="224" spans="2:13" ht="19" x14ac:dyDescent="0.25">
      <c r="B224" s="2">
        <v>45684</v>
      </c>
      <c r="C224" s="3">
        <v>546.92999999999995</v>
      </c>
      <c r="D224" s="3">
        <v>551.39</v>
      </c>
      <c r="E224" s="3">
        <v>546.83000000000004</v>
      </c>
      <c r="F224" s="3">
        <v>551.23</v>
      </c>
      <c r="G224" s="3">
        <v>546.07000000000005</v>
      </c>
      <c r="H224" s="4">
        <v>7617400</v>
      </c>
      <c r="L224" s="2">
        <v>45684</v>
      </c>
      <c r="M224" s="3">
        <v>546.07000000000005</v>
      </c>
    </row>
    <row r="225" spans="2:13" ht="19" x14ac:dyDescent="0.25">
      <c r="B225" s="2">
        <v>45681</v>
      </c>
      <c r="C225" s="3">
        <v>560.76</v>
      </c>
      <c r="D225" s="3">
        <v>561.66</v>
      </c>
      <c r="E225" s="3">
        <v>558.02</v>
      </c>
      <c r="F225" s="3">
        <v>559.01</v>
      </c>
      <c r="G225" s="3">
        <v>553.78</v>
      </c>
      <c r="H225" s="4">
        <v>3612100</v>
      </c>
      <c r="L225" s="2">
        <v>45681</v>
      </c>
      <c r="M225" s="3">
        <v>553.78</v>
      </c>
    </row>
    <row r="226" spans="2:13" ht="19" x14ac:dyDescent="0.25">
      <c r="B226" s="2">
        <v>45680</v>
      </c>
      <c r="C226" s="3">
        <v>557.04</v>
      </c>
      <c r="D226" s="3">
        <v>560.70000000000005</v>
      </c>
      <c r="E226" s="3">
        <v>556.79999999999995</v>
      </c>
      <c r="F226" s="3">
        <v>560.70000000000005</v>
      </c>
      <c r="G226" s="3">
        <v>555.45000000000005</v>
      </c>
      <c r="H226" s="4">
        <v>6217900</v>
      </c>
      <c r="L226" s="2">
        <v>45680</v>
      </c>
      <c r="M226" s="3">
        <v>555.45000000000005</v>
      </c>
    </row>
    <row r="227" spans="2:13" ht="19" x14ac:dyDescent="0.25">
      <c r="B227" s="2">
        <v>45679</v>
      </c>
      <c r="C227" s="3">
        <v>557.19000000000005</v>
      </c>
      <c r="D227" s="3">
        <v>558.92999999999995</v>
      </c>
      <c r="E227" s="3">
        <v>556.73</v>
      </c>
      <c r="F227" s="3">
        <v>557.61</v>
      </c>
      <c r="G227" s="3">
        <v>552.39</v>
      </c>
      <c r="H227" s="4">
        <v>4780000</v>
      </c>
      <c r="L227" s="2">
        <v>45679</v>
      </c>
      <c r="M227" s="3">
        <v>552.39</v>
      </c>
    </row>
    <row r="228" spans="2:13" ht="19" x14ac:dyDescent="0.25">
      <c r="B228" s="2">
        <v>45678</v>
      </c>
      <c r="C228" s="3">
        <v>552.32000000000005</v>
      </c>
      <c r="D228" s="3">
        <v>554.46</v>
      </c>
      <c r="E228" s="3">
        <v>550.5</v>
      </c>
      <c r="F228" s="3">
        <v>554.46</v>
      </c>
      <c r="G228" s="3">
        <v>549.27</v>
      </c>
      <c r="H228" s="4">
        <v>5301700</v>
      </c>
      <c r="L228" s="2">
        <v>45678</v>
      </c>
      <c r="M228" s="3">
        <v>549.27</v>
      </c>
    </row>
    <row r="229" spans="2:13" ht="19" x14ac:dyDescent="0.25">
      <c r="B229" s="2">
        <v>45674</v>
      </c>
      <c r="C229" s="3">
        <v>548.91999999999996</v>
      </c>
      <c r="D229" s="3">
        <v>551.12</v>
      </c>
      <c r="E229" s="3">
        <v>547.67999999999995</v>
      </c>
      <c r="F229" s="3">
        <v>549.46</v>
      </c>
      <c r="G229" s="3">
        <v>544.32000000000005</v>
      </c>
      <c r="H229" s="4">
        <v>6558700</v>
      </c>
      <c r="L229" s="2">
        <v>45674</v>
      </c>
      <c r="M229" s="3">
        <v>544.32000000000005</v>
      </c>
    </row>
    <row r="230" spans="2:13" ht="19" x14ac:dyDescent="0.25">
      <c r="B230" s="2">
        <v>45673</v>
      </c>
      <c r="C230" s="3">
        <v>546.35</v>
      </c>
      <c r="D230" s="3">
        <v>546.51</v>
      </c>
      <c r="E230" s="3">
        <v>543.39</v>
      </c>
      <c r="F230" s="3">
        <v>544.24</v>
      </c>
      <c r="G230" s="3">
        <v>539.15</v>
      </c>
      <c r="H230" s="4">
        <v>3632800</v>
      </c>
      <c r="L230" s="2">
        <v>45673</v>
      </c>
      <c r="M230" s="3">
        <v>539.15</v>
      </c>
    </row>
    <row r="231" spans="2:13" ht="19" x14ac:dyDescent="0.25">
      <c r="B231" s="2">
        <v>45672</v>
      </c>
      <c r="C231" s="3">
        <v>542.84</v>
      </c>
      <c r="D231" s="3">
        <v>546.13</v>
      </c>
      <c r="E231" s="3">
        <v>541.76</v>
      </c>
      <c r="F231" s="3">
        <v>545.04999999999995</v>
      </c>
      <c r="G231" s="3">
        <v>539.95000000000005</v>
      </c>
      <c r="H231" s="4">
        <v>5307300</v>
      </c>
      <c r="L231" s="2">
        <v>45672</v>
      </c>
      <c r="M231" s="3">
        <v>539.95000000000005</v>
      </c>
    </row>
    <row r="232" spans="2:13" ht="19" x14ac:dyDescent="0.25">
      <c r="B232" s="2">
        <v>45671</v>
      </c>
      <c r="C232" s="3">
        <v>537.32000000000005</v>
      </c>
      <c r="D232" s="3">
        <v>537.91</v>
      </c>
      <c r="E232" s="3">
        <v>531.80999999999995</v>
      </c>
      <c r="F232" s="3">
        <v>535.26</v>
      </c>
      <c r="G232" s="3">
        <v>530.25</v>
      </c>
      <c r="H232" s="4">
        <v>8820000</v>
      </c>
      <c r="L232" s="2">
        <v>45671</v>
      </c>
      <c r="M232" s="3">
        <v>530.25</v>
      </c>
    </row>
    <row r="233" spans="2:13" ht="19" x14ac:dyDescent="0.25">
      <c r="B233" s="2">
        <v>45670</v>
      </c>
      <c r="C233" s="3">
        <v>529.4</v>
      </c>
      <c r="D233" s="3">
        <v>534.91</v>
      </c>
      <c r="E233" s="3">
        <v>529.02</v>
      </c>
      <c r="F233" s="3">
        <v>534.58000000000004</v>
      </c>
      <c r="G233" s="3">
        <v>529.58000000000004</v>
      </c>
      <c r="H233" s="4">
        <v>5621000</v>
      </c>
      <c r="L233" s="2">
        <v>45670</v>
      </c>
      <c r="M233" s="3">
        <v>529.58000000000004</v>
      </c>
    </row>
    <row r="234" spans="2:13" ht="19" x14ac:dyDescent="0.25">
      <c r="B234" s="2">
        <v>45667</v>
      </c>
      <c r="C234" s="3">
        <v>538.71</v>
      </c>
      <c r="D234" s="3">
        <v>538.75</v>
      </c>
      <c r="E234" s="3">
        <v>532</v>
      </c>
      <c r="F234" s="3">
        <v>533.89</v>
      </c>
      <c r="G234" s="3">
        <v>528.9</v>
      </c>
      <c r="H234" s="4">
        <v>7935200</v>
      </c>
      <c r="L234" s="2">
        <v>45667</v>
      </c>
      <c r="M234" s="3">
        <v>528.9</v>
      </c>
    </row>
    <row r="235" spans="2:13" ht="19" x14ac:dyDescent="0.25">
      <c r="B235" s="2">
        <v>45665</v>
      </c>
      <c r="C235" s="3">
        <v>541.32000000000005</v>
      </c>
      <c r="D235" s="3">
        <v>543</v>
      </c>
      <c r="E235" s="3">
        <v>538.08000000000004</v>
      </c>
      <c r="F235" s="3">
        <v>542.14</v>
      </c>
      <c r="G235" s="3">
        <v>537.07000000000005</v>
      </c>
      <c r="H235" s="4">
        <v>4317000</v>
      </c>
      <c r="L235" s="2">
        <v>45665</v>
      </c>
      <c r="M235" s="3">
        <v>537.07000000000005</v>
      </c>
    </row>
    <row r="236" spans="2:13" ht="19" x14ac:dyDescent="0.25">
      <c r="B236" s="2">
        <v>45664</v>
      </c>
      <c r="C236" s="3">
        <v>549.32000000000005</v>
      </c>
      <c r="D236" s="3">
        <v>549.6</v>
      </c>
      <c r="E236" s="3">
        <v>539.55999999999995</v>
      </c>
      <c r="F236" s="3">
        <v>541.41</v>
      </c>
      <c r="G236" s="3">
        <v>536.34</v>
      </c>
      <c r="H236" s="4">
        <v>5383200</v>
      </c>
      <c r="L236" s="2">
        <v>45664</v>
      </c>
      <c r="M236" s="3">
        <v>536.34</v>
      </c>
    </row>
    <row r="237" spans="2:13" ht="19" x14ac:dyDescent="0.25">
      <c r="B237" s="2">
        <v>45663</v>
      </c>
      <c r="C237" s="3">
        <v>548.28</v>
      </c>
      <c r="D237" s="3">
        <v>551.42999999999995</v>
      </c>
      <c r="E237" s="3">
        <v>545.82000000000005</v>
      </c>
      <c r="F237" s="3">
        <v>547.57000000000005</v>
      </c>
      <c r="G237" s="3">
        <v>542.45000000000005</v>
      </c>
      <c r="H237" s="4">
        <v>5983400</v>
      </c>
      <c r="L237" s="2">
        <v>45663</v>
      </c>
      <c r="M237" s="3">
        <v>542.45000000000005</v>
      </c>
    </row>
    <row r="238" spans="2:13" ht="19" x14ac:dyDescent="0.25">
      <c r="B238" s="2">
        <v>45660</v>
      </c>
      <c r="C238" s="3">
        <v>540.19000000000005</v>
      </c>
      <c r="D238" s="3">
        <v>544.88</v>
      </c>
      <c r="E238" s="3">
        <v>539.20000000000005</v>
      </c>
      <c r="F238" s="3">
        <v>544.4</v>
      </c>
      <c r="G238" s="3">
        <v>539.30999999999995</v>
      </c>
      <c r="H238" s="4">
        <v>6416300</v>
      </c>
      <c r="L238" s="2">
        <v>45660</v>
      </c>
      <c r="M238" s="3">
        <v>539.30999999999995</v>
      </c>
    </row>
    <row r="239" spans="2:13" ht="19" x14ac:dyDescent="0.25">
      <c r="B239" s="2">
        <v>45659</v>
      </c>
      <c r="C239" s="3">
        <v>542.02</v>
      </c>
      <c r="D239" s="3">
        <v>543.54</v>
      </c>
      <c r="E239" s="3">
        <v>533.79</v>
      </c>
      <c r="F239" s="3">
        <v>537.46</v>
      </c>
      <c r="G239" s="3">
        <v>532.42999999999995</v>
      </c>
      <c r="H239" s="4">
        <v>7142700</v>
      </c>
      <c r="L239" s="2">
        <v>45659</v>
      </c>
      <c r="M239" s="3">
        <v>532.42999999999995</v>
      </c>
    </row>
    <row r="240" spans="2:13" ht="19" x14ac:dyDescent="0.25">
      <c r="B240" s="2">
        <v>45657</v>
      </c>
      <c r="C240" s="3">
        <v>542.45000000000005</v>
      </c>
      <c r="D240" s="3">
        <v>543.07000000000005</v>
      </c>
      <c r="E240" s="3">
        <v>537.4</v>
      </c>
      <c r="F240" s="3">
        <v>538.80999999999995</v>
      </c>
      <c r="G240" s="3">
        <v>533.77</v>
      </c>
      <c r="H240" s="4">
        <v>6040800</v>
      </c>
      <c r="L240" s="2">
        <v>45657</v>
      </c>
      <c r="M240" s="3">
        <v>533.77</v>
      </c>
    </row>
    <row r="241" spans="2:13" ht="19" x14ac:dyDescent="0.25">
      <c r="B241" s="2">
        <v>45656</v>
      </c>
      <c r="C241" s="3">
        <v>540.55999999999995</v>
      </c>
      <c r="D241" s="3">
        <v>544.09</v>
      </c>
      <c r="E241" s="3">
        <v>537.4</v>
      </c>
      <c r="F241" s="3">
        <v>540.99</v>
      </c>
      <c r="G241" s="3">
        <v>535.92999999999995</v>
      </c>
      <c r="H241" s="4">
        <v>6505100</v>
      </c>
      <c r="L241" s="2">
        <v>45656</v>
      </c>
      <c r="M241" s="3">
        <v>535.92999999999995</v>
      </c>
    </row>
    <row r="242" spans="2:13" ht="19" x14ac:dyDescent="0.25">
      <c r="B242" s="2">
        <v>45653</v>
      </c>
      <c r="C242" s="3">
        <v>549.37</v>
      </c>
      <c r="D242" s="3">
        <v>549.62</v>
      </c>
      <c r="E242" s="3">
        <v>543.20000000000005</v>
      </c>
      <c r="F242" s="3">
        <v>547.08000000000004</v>
      </c>
      <c r="G242" s="3">
        <v>541.96</v>
      </c>
      <c r="H242" s="4">
        <v>7077100</v>
      </c>
      <c r="L242" s="2">
        <v>45653</v>
      </c>
      <c r="M242" s="3">
        <v>541.96</v>
      </c>
    </row>
    <row r="243" spans="2:13" ht="19" x14ac:dyDescent="0.25">
      <c r="B243" s="2">
        <v>45652</v>
      </c>
      <c r="C243" s="3">
        <v>551.20000000000005</v>
      </c>
      <c r="D243" s="3">
        <v>553.97</v>
      </c>
      <c r="E243" s="3">
        <v>549.91999999999996</v>
      </c>
      <c r="F243" s="3">
        <v>552.80999999999995</v>
      </c>
      <c r="G243" s="3">
        <v>547.64</v>
      </c>
      <c r="H243" s="4">
        <v>4492000</v>
      </c>
      <c r="L243" s="2">
        <v>45652</v>
      </c>
      <c r="M243" s="3">
        <v>547.64</v>
      </c>
    </row>
    <row r="244" spans="2:13" ht="19" x14ac:dyDescent="0.25">
      <c r="B244" s="2">
        <v>45650</v>
      </c>
      <c r="C244" s="3">
        <v>548.05999999999995</v>
      </c>
      <c r="D244" s="3">
        <v>552.9</v>
      </c>
      <c r="E244" s="3">
        <v>547.54</v>
      </c>
      <c r="F244" s="3">
        <v>552.82000000000005</v>
      </c>
      <c r="G244" s="3">
        <v>547.65</v>
      </c>
      <c r="H244" s="4">
        <v>3439300</v>
      </c>
      <c r="L244" s="2">
        <v>45650</v>
      </c>
      <c r="M244" s="3">
        <v>547.65</v>
      </c>
    </row>
    <row r="245" spans="2:13" ht="19" x14ac:dyDescent="0.25">
      <c r="B245" s="2">
        <v>45649</v>
      </c>
      <c r="C245" s="3">
        <v>543.30999999999995</v>
      </c>
      <c r="D245" s="3">
        <v>547.36</v>
      </c>
      <c r="E245" s="3">
        <v>540.32000000000005</v>
      </c>
      <c r="F245" s="3">
        <v>547.19000000000005</v>
      </c>
      <c r="G245" s="3">
        <v>542.07000000000005</v>
      </c>
      <c r="H245" s="4">
        <v>7063400</v>
      </c>
      <c r="L245" s="2">
        <v>45649</v>
      </c>
      <c r="M245" s="3">
        <v>542.07000000000005</v>
      </c>
    </row>
    <row r="246" spans="2:13" ht="19" x14ac:dyDescent="0.25">
      <c r="B246" s="2">
        <v>45646</v>
      </c>
      <c r="C246" s="3">
        <v>536.61</v>
      </c>
      <c r="D246" s="3">
        <v>549.54</v>
      </c>
      <c r="E246" s="3">
        <v>535.85</v>
      </c>
      <c r="F246" s="3">
        <v>545.04</v>
      </c>
      <c r="G246" s="3">
        <v>538.22</v>
      </c>
      <c r="H246" s="4">
        <v>9389400</v>
      </c>
      <c r="L246" s="2">
        <v>45646</v>
      </c>
      <c r="M246" s="3">
        <v>538.22</v>
      </c>
    </row>
    <row r="247" spans="2:13" ht="19" x14ac:dyDescent="0.25">
      <c r="B247" s="2">
        <v>45645</v>
      </c>
      <c r="C247" s="3">
        <v>543.69000000000005</v>
      </c>
      <c r="D247" s="3">
        <v>545.1</v>
      </c>
      <c r="E247" s="3">
        <v>538.65</v>
      </c>
      <c r="F247" s="3">
        <v>538.94000000000005</v>
      </c>
      <c r="G247" s="3">
        <v>532.19000000000005</v>
      </c>
      <c r="H247" s="4">
        <v>16792100</v>
      </c>
      <c r="L247" s="2">
        <v>45645</v>
      </c>
      <c r="M247" s="3">
        <v>532.19000000000005</v>
      </c>
    </row>
    <row r="248" spans="2:13" ht="19" x14ac:dyDescent="0.25">
      <c r="B248" s="2">
        <v>45644</v>
      </c>
      <c r="C248" s="3">
        <v>555.29999999999995</v>
      </c>
      <c r="D248" s="3">
        <v>557.53</v>
      </c>
      <c r="E248" s="3">
        <v>538.53</v>
      </c>
      <c r="F248" s="3">
        <v>539.14</v>
      </c>
      <c r="G248" s="3">
        <v>532.39</v>
      </c>
      <c r="H248" s="4">
        <v>24584900</v>
      </c>
      <c r="L248" s="2">
        <v>45644</v>
      </c>
      <c r="M248" s="3">
        <v>532.39</v>
      </c>
    </row>
    <row r="249" spans="2:13" ht="19" x14ac:dyDescent="0.25">
      <c r="B249" s="2">
        <v>45643</v>
      </c>
      <c r="C249" s="3">
        <v>555.47</v>
      </c>
      <c r="D249" s="3">
        <v>556.39</v>
      </c>
      <c r="E249" s="3">
        <v>554.29</v>
      </c>
      <c r="F249" s="3">
        <v>555.45000000000005</v>
      </c>
      <c r="G249" s="3">
        <v>548.5</v>
      </c>
      <c r="H249" s="4">
        <v>6110900</v>
      </c>
      <c r="L249" s="2">
        <v>45643</v>
      </c>
      <c r="M249" s="3">
        <v>548.5</v>
      </c>
    </row>
    <row r="250" spans="2:13" ht="19" x14ac:dyDescent="0.25">
      <c r="B250" s="2">
        <v>45642</v>
      </c>
      <c r="C250" s="3">
        <v>557.13</v>
      </c>
      <c r="D250" s="3">
        <v>558.79999999999995</v>
      </c>
      <c r="E250" s="3">
        <v>556.41999999999996</v>
      </c>
      <c r="F250" s="3">
        <v>557.79</v>
      </c>
      <c r="G250" s="3">
        <v>550.80999999999995</v>
      </c>
      <c r="H250" s="4">
        <v>22846800</v>
      </c>
      <c r="L250" s="2">
        <v>45642</v>
      </c>
      <c r="M250" s="3">
        <v>550.80999999999995</v>
      </c>
    </row>
    <row r="251" spans="2:13" ht="19" x14ac:dyDescent="0.25">
      <c r="B251" s="2">
        <v>45639</v>
      </c>
      <c r="C251" s="3">
        <v>557.51</v>
      </c>
      <c r="D251" s="3">
        <v>558.16</v>
      </c>
      <c r="E251" s="3">
        <v>554.20000000000005</v>
      </c>
      <c r="F251" s="3">
        <v>555.61</v>
      </c>
      <c r="G251" s="3">
        <v>548.66</v>
      </c>
      <c r="H251" s="4">
        <v>4666900</v>
      </c>
      <c r="L251" s="2">
        <v>45639</v>
      </c>
      <c r="M251" s="3">
        <v>548.66</v>
      </c>
    </row>
    <row r="252" spans="2:13" ht="19" x14ac:dyDescent="0.25">
      <c r="B252" s="2">
        <v>45638</v>
      </c>
      <c r="C252" s="3">
        <v>557.66999999999996</v>
      </c>
      <c r="D252" s="3">
        <v>558.20000000000005</v>
      </c>
      <c r="E252" s="3">
        <v>555.62</v>
      </c>
      <c r="F252" s="3">
        <v>555.65</v>
      </c>
      <c r="G252" s="3">
        <v>548.70000000000005</v>
      </c>
      <c r="H252" s="4">
        <v>4048600</v>
      </c>
      <c r="L252" s="2">
        <v>45638</v>
      </c>
      <c r="M252" s="3">
        <v>548.70000000000005</v>
      </c>
    </row>
    <row r="253" spans="2:13" ht="19" x14ac:dyDescent="0.25">
      <c r="B253" s="2">
        <v>45637</v>
      </c>
      <c r="C253" s="3">
        <v>556.91999999999996</v>
      </c>
      <c r="D253" s="3">
        <v>559.39</v>
      </c>
      <c r="E253" s="3">
        <v>556.66</v>
      </c>
      <c r="F253" s="3">
        <v>558.53</v>
      </c>
      <c r="G253" s="3">
        <v>551.54</v>
      </c>
      <c r="H253" s="4">
        <v>3514400</v>
      </c>
      <c r="L253" s="2">
        <v>45637</v>
      </c>
      <c r="M253" s="3">
        <v>551.54</v>
      </c>
    </row>
    <row r="254" spans="2:13" ht="19" x14ac:dyDescent="0.25">
      <c r="B254" s="2">
        <v>45636</v>
      </c>
      <c r="C254" s="3">
        <v>556.58000000000004</v>
      </c>
      <c r="D254" s="3">
        <v>556.88</v>
      </c>
      <c r="E254" s="3">
        <v>553.57000000000005</v>
      </c>
      <c r="F254" s="3">
        <v>554.33000000000004</v>
      </c>
      <c r="G254" s="3">
        <v>547.39</v>
      </c>
      <c r="H254" s="4">
        <v>4110100</v>
      </c>
      <c r="L254" s="2">
        <v>45636</v>
      </c>
      <c r="M254" s="3">
        <v>547.39</v>
      </c>
    </row>
    <row r="255" spans="2:13" ht="19" x14ac:dyDescent="0.25">
      <c r="B255" s="2">
        <v>45635</v>
      </c>
      <c r="C255" s="3">
        <v>558.71</v>
      </c>
      <c r="D255" s="3">
        <v>558.87</v>
      </c>
      <c r="E255" s="3">
        <v>555.38</v>
      </c>
      <c r="F255" s="3">
        <v>555.91</v>
      </c>
      <c r="G255" s="3">
        <v>548.95000000000005</v>
      </c>
      <c r="H255" s="4">
        <v>4412300</v>
      </c>
      <c r="L255" s="2">
        <v>45635</v>
      </c>
      <c r="M255" s="3">
        <v>548.95000000000005</v>
      </c>
    </row>
    <row r="256" spans="2:13" ht="19" x14ac:dyDescent="0.25">
      <c r="B256" s="2">
        <v>45632</v>
      </c>
      <c r="C256" s="3">
        <v>558.47</v>
      </c>
      <c r="D256" s="3">
        <v>559.96</v>
      </c>
      <c r="E256" s="3">
        <v>558.08000000000004</v>
      </c>
      <c r="F256" s="3">
        <v>558.82000000000005</v>
      </c>
      <c r="G256" s="3">
        <v>551.83000000000004</v>
      </c>
      <c r="H256" s="4">
        <v>5134900</v>
      </c>
      <c r="L256" s="2">
        <v>45632</v>
      </c>
      <c r="M256" s="3">
        <v>551.83000000000004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C9FF-19C5-6043-A8D5-4CF3104FF64B}">
  <dimension ref="A2:V263"/>
  <sheetViews>
    <sheetView zoomScale="88" workbookViewId="0">
      <selection activeCell="B10" sqref="B10"/>
    </sheetView>
  </sheetViews>
  <sheetFormatPr baseColWidth="10" defaultRowHeight="16" x14ac:dyDescent="0.2"/>
  <cols>
    <col min="1" max="1" width="21" style="1" bestFit="1" customWidth="1"/>
    <col min="2" max="2" width="14.6640625" style="1" bestFit="1" customWidth="1"/>
    <col min="3" max="3" width="14.33203125" style="1" bestFit="1" customWidth="1"/>
    <col min="4" max="4" width="16.33203125" style="1" bestFit="1" customWidth="1"/>
    <col min="5" max="5" width="10.83203125" style="1"/>
    <col min="6" max="6" width="16.5" style="1" bestFit="1" customWidth="1"/>
    <col min="7" max="7" width="30.5" style="1" bestFit="1" customWidth="1"/>
    <col min="8" max="8" width="10.83203125" style="1"/>
    <col min="9" max="9" width="18.6640625" style="1" bestFit="1" customWidth="1"/>
    <col min="10" max="10" width="13.5" style="1" bestFit="1" customWidth="1"/>
    <col min="11" max="11" width="13.83203125" style="1" bestFit="1" customWidth="1"/>
    <col min="12" max="20" width="10.83203125" style="1"/>
    <col min="21" max="21" width="39.83203125" style="1" bestFit="1" customWidth="1"/>
    <col min="22" max="16384" width="10.83203125" style="1"/>
  </cols>
  <sheetData>
    <row r="2" spans="1:22" x14ac:dyDescent="0.2">
      <c r="A2" s="1" t="s">
        <v>22</v>
      </c>
    </row>
    <row r="4" spans="1:22" x14ac:dyDescent="0.2">
      <c r="B4" s="1" t="s">
        <v>6</v>
      </c>
      <c r="C4" s="1" t="s">
        <v>7</v>
      </c>
    </row>
    <row r="5" spans="1:22" ht="22" x14ac:dyDescent="0.25">
      <c r="A5" s="1" t="s">
        <v>0</v>
      </c>
      <c r="B5" s="1">
        <v>250</v>
      </c>
      <c r="P5" s="1" t="s">
        <v>85</v>
      </c>
      <c r="S5" s="1">
        <f>AVERAGE(R14:R262)</f>
        <v>-4.6567417526755829E-4</v>
      </c>
      <c r="U5" s="1" t="s">
        <v>87</v>
      </c>
      <c r="V5" s="15">
        <v>4.1399999999999999E-2</v>
      </c>
    </row>
    <row r="6" spans="1:22" x14ac:dyDescent="0.2">
      <c r="A6" s="1" t="s">
        <v>1</v>
      </c>
      <c r="B6" s="1">
        <f>B5-1</f>
        <v>249</v>
      </c>
      <c r="P6" s="1" t="s">
        <v>86</v>
      </c>
      <c r="S6" s="1">
        <f>S5*252</f>
        <v>-0.1173498921674247</v>
      </c>
    </row>
    <row r="7" spans="1:22" x14ac:dyDescent="0.2">
      <c r="A7" s="1" t="s">
        <v>2</v>
      </c>
      <c r="B7" s="1">
        <f>-AVERAGE(F14:F263)</f>
        <v>-1.3794369925523981E-3</v>
      </c>
    </row>
    <row r="8" spans="1:22" x14ac:dyDescent="0.2">
      <c r="A8" s="1" t="s">
        <v>3</v>
      </c>
      <c r="B8" s="1">
        <f>_xlfn.VAR.S(C15:C263)</f>
        <v>6.2363116631436639E-4</v>
      </c>
    </row>
    <row r="9" spans="1:22" x14ac:dyDescent="0.2">
      <c r="A9" s="1" t="s">
        <v>4</v>
      </c>
      <c r="B9" s="1">
        <f>SQRT(B8)</f>
        <v>2.4972608320204887E-2</v>
      </c>
    </row>
    <row r="10" spans="1:22" x14ac:dyDescent="0.2">
      <c r="A10" s="1" t="s">
        <v>5</v>
      </c>
      <c r="B10" s="20">
        <f>B9*SQRT(252)</f>
        <v>0.39642786722330753</v>
      </c>
      <c r="P10" s="9" t="s">
        <v>54</v>
      </c>
      <c r="Q10" s="9"/>
    </row>
    <row r="11" spans="1:22" x14ac:dyDescent="0.2">
      <c r="P11" s="9"/>
      <c r="Q11" s="9"/>
    </row>
    <row r="12" spans="1:22" x14ac:dyDescent="0.2">
      <c r="I12" s="29" t="s">
        <v>15</v>
      </c>
      <c r="J12" s="29"/>
      <c r="K12" s="29"/>
      <c r="N12" s="1" t="s">
        <v>49</v>
      </c>
      <c r="P12" s="9" t="s">
        <v>8</v>
      </c>
      <c r="Q12" s="9" t="s">
        <v>30</v>
      </c>
      <c r="R12" s="1" t="s">
        <v>55</v>
      </c>
    </row>
    <row r="13" spans="1:22" ht="19" x14ac:dyDescent="0.25">
      <c r="A13" s="1" t="s">
        <v>8</v>
      </c>
      <c r="B13" s="1" t="s">
        <v>30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I13" s="1" t="s">
        <v>16</v>
      </c>
      <c r="J13" s="1" t="s">
        <v>18</v>
      </c>
      <c r="K13" s="1" t="s">
        <v>19</v>
      </c>
      <c r="N13" s="1">
        <v>-0.13</v>
      </c>
      <c r="P13" s="10">
        <v>45996</v>
      </c>
      <c r="Q13" s="11">
        <v>630.48</v>
      </c>
    </row>
    <row r="14" spans="1:22" ht="19" x14ac:dyDescent="0.25">
      <c r="A14" s="5">
        <v>45996</v>
      </c>
      <c r="B14" s="1">
        <v>155.15</v>
      </c>
      <c r="E14" s="1">
        <v>1</v>
      </c>
      <c r="F14" s="1">
        <f>IF(E14&lt;$B$5,C14,"")</f>
        <v>0</v>
      </c>
      <c r="G14" s="1">
        <f>IF(E14&lt;=$B$5,D14,"")</f>
        <v>0</v>
      </c>
      <c r="I14" s="1" t="s">
        <v>17</v>
      </c>
      <c r="N14" s="1">
        <v>-0.12</v>
      </c>
      <c r="P14" s="10">
        <v>45995</v>
      </c>
      <c r="Q14" s="11">
        <v>629.29999999999995</v>
      </c>
      <c r="R14" s="1">
        <f>(Q14-Q13)/Q13</f>
        <v>-1.8715898997590148E-3</v>
      </c>
    </row>
    <row r="15" spans="1:22" ht="19" x14ac:dyDescent="0.25">
      <c r="A15" s="5">
        <v>45995</v>
      </c>
      <c r="B15" s="1">
        <v>153.51</v>
      </c>
      <c r="C15" s="1">
        <f>(B15-B14)/B14</f>
        <v>-1.0570415726716176E-2</v>
      </c>
      <c r="D15" s="1">
        <f>(C15-$B$7)^2</f>
        <v>8.4474090091850827E-5</v>
      </c>
      <c r="E15" s="1">
        <v>2</v>
      </c>
      <c r="F15" s="1">
        <f t="shared" ref="F15:F78" si="0">IF(E15&lt;$B$5,C15,"")</f>
        <v>-1.0570415726716176E-2</v>
      </c>
      <c r="G15" s="1">
        <f t="shared" ref="G15:G78" si="1">IF(E15&lt;=$B$5,D15,"")</f>
        <v>8.4474090091850827E-5</v>
      </c>
      <c r="I15" s="1" t="s">
        <v>2</v>
      </c>
      <c r="N15" s="1">
        <v>-0.11</v>
      </c>
      <c r="P15" s="10">
        <v>45994</v>
      </c>
      <c r="Q15" s="11">
        <v>628.77</v>
      </c>
      <c r="R15" s="1">
        <f t="shared" ref="R15:R78" si="2">(Q15-Q14)/Q14</f>
        <v>-8.4220562529790683E-4</v>
      </c>
    </row>
    <row r="16" spans="1:22" ht="19" x14ac:dyDescent="0.25">
      <c r="A16" s="5">
        <v>45994</v>
      </c>
      <c r="B16" s="1">
        <v>150.94999999999999</v>
      </c>
      <c r="C16" s="1">
        <f t="shared" ref="C16:C79" si="3">(B16-B15)/B15</f>
        <v>-1.6676438017067308E-2</v>
      </c>
      <c r="D16" s="1">
        <f t="shared" ref="D16:D79" si="4">(C16-$B$7)^2</f>
        <v>2.339982403440102E-4</v>
      </c>
      <c r="E16" s="1">
        <v>3</v>
      </c>
      <c r="F16" s="1">
        <f t="shared" si="0"/>
        <v>-1.6676438017067308E-2</v>
      </c>
      <c r="G16" s="1">
        <f t="shared" si="1"/>
        <v>2.339982403440102E-4</v>
      </c>
      <c r="I16" s="1" t="s">
        <v>3</v>
      </c>
      <c r="N16" s="1">
        <v>-0.1</v>
      </c>
      <c r="P16" s="10">
        <v>45993</v>
      </c>
      <c r="Q16" s="11">
        <v>626.58000000000004</v>
      </c>
      <c r="R16" s="1">
        <f t="shared" si="2"/>
        <v>-3.4829906006965043E-3</v>
      </c>
    </row>
    <row r="17" spans="1:18" ht="19" x14ac:dyDescent="0.25">
      <c r="A17" s="5">
        <v>45993</v>
      </c>
      <c r="B17" s="1">
        <v>141.18</v>
      </c>
      <c r="C17" s="1">
        <f t="shared" si="3"/>
        <v>-6.4723418350447051E-2</v>
      </c>
      <c r="D17" s="1">
        <f t="shared" si="4"/>
        <v>4.0124599742693053E-3</v>
      </c>
      <c r="E17" s="1">
        <v>4</v>
      </c>
      <c r="F17" s="1">
        <f t="shared" si="0"/>
        <v>-6.4723418350447051E-2</v>
      </c>
      <c r="G17" s="1">
        <f t="shared" si="1"/>
        <v>4.0124599742693053E-3</v>
      </c>
      <c r="I17" s="1" t="s">
        <v>4</v>
      </c>
      <c r="N17" s="1">
        <v>-0.09</v>
      </c>
      <c r="P17" s="10">
        <v>45992</v>
      </c>
      <c r="Q17" s="11">
        <v>625.52</v>
      </c>
      <c r="R17" s="1">
        <f t="shared" si="2"/>
        <v>-1.6917233234384421E-3</v>
      </c>
    </row>
    <row r="18" spans="1:18" ht="19" x14ac:dyDescent="0.25">
      <c r="A18" s="5">
        <v>45992</v>
      </c>
      <c r="B18" s="1">
        <v>139.38999999999999</v>
      </c>
      <c r="C18" s="1">
        <f t="shared" si="3"/>
        <v>-1.2678849695424425E-2</v>
      </c>
      <c r="D18" s="1">
        <f t="shared" si="4"/>
        <v>1.2767672742982576E-4</v>
      </c>
      <c r="E18" s="1">
        <v>5</v>
      </c>
      <c r="F18" s="1">
        <f t="shared" si="0"/>
        <v>-1.2678849695424425E-2</v>
      </c>
      <c r="G18" s="1">
        <f t="shared" si="1"/>
        <v>1.2767672742982576E-4</v>
      </c>
      <c r="I18" s="1" t="s">
        <v>5</v>
      </c>
      <c r="N18" s="1">
        <v>-0.08</v>
      </c>
      <c r="P18" s="10">
        <v>45989</v>
      </c>
      <c r="Q18" s="11">
        <v>628.41</v>
      </c>
      <c r="R18" s="1">
        <f t="shared" si="2"/>
        <v>4.620156030182866E-3</v>
      </c>
    </row>
    <row r="19" spans="1:18" ht="19" x14ac:dyDescent="0.25">
      <c r="A19" s="5">
        <v>45989</v>
      </c>
      <c r="B19" s="1">
        <v>135.02000000000001</v>
      </c>
      <c r="C19" s="1">
        <f t="shared" si="3"/>
        <v>-3.1350886003299924E-2</v>
      </c>
      <c r="D19" s="1">
        <f t="shared" si="4"/>
        <v>8.9828775580383879E-4</v>
      </c>
      <c r="E19" s="1">
        <v>6</v>
      </c>
      <c r="F19" s="1">
        <f t="shared" si="0"/>
        <v>-3.1350886003299924E-2</v>
      </c>
      <c r="G19" s="1">
        <f t="shared" si="1"/>
        <v>8.9828775580383879E-4</v>
      </c>
      <c r="I19" s="1" t="s">
        <v>20</v>
      </c>
      <c r="J19" s="1" t="s">
        <v>18</v>
      </c>
      <c r="K19" s="1" t="s">
        <v>19</v>
      </c>
      <c r="N19" s="1">
        <v>-6.9999999999999896E-2</v>
      </c>
      <c r="P19" s="10">
        <v>45987</v>
      </c>
      <c r="Q19" s="11">
        <v>624.95000000000005</v>
      </c>
      <c r="R19" s="1">
        <f t="shared" si="2"/>
        <v>-5.5059594850494472E-3</v>
      </c>
    </row>
    <row r="20" spans="1:18" ht="19" x14ac:dyDescent="0.25">
      <c r="A20" s="5">
        <v>45987</v>
      </c>
      <c r="B20" s="1">
        <v>134.63999999999999</v>
      </c>
      <c r="C20" s="1">
        <f t="shared" si="3"/>
        <v>-2.8143978669828459E-3</v>
      </c>
      <c r="D20" s="1">
        <f t="shared" si="4"/>
        <v>2.0591127111461957E-6</v>
      </c>
      <c r="E20" s="1">
        <v>7</v>
      </c>
      <c r="F20" s="1">
        <f t="shared" si="0"/>
        <v>-2.8143978669828459E-3</v>
      </c>
      <c r="G20" s="1">
        <f t="shared" si="1"/>
        <v>2.0591127111461957E-6</v>
      </c>
      <c r="I20" s="1" t="s">
        <v>17</v>
      </c>
      <c r="N20" s="1">
        <v>-5.9999999999999901E-2</v>
      </c>
      <c r="P20" s="10">
        <v>45986</v>
      </c>
      <c r="Q20" s="11">
        <v>620.66</v>
      </c>
      <c r="R20" s="1">
        <f t="shared" si="2"/>
        <v>-6.8645491639332378E-3</v>
      </c>
    </row>
    <row r="21" spans="1:18" ht="19" x14ac:dyDescent="0.25">
      <c r="A21" s="5">
        <v>45986</v>
      </c>
      <c r="B21" s="1">
        <v>134.06</v>
      </c>
      <c r="C21" s="1">
        <f t="shared" si="3"/>
        <v>-4.307783719548308E-3</v>
      </c>
      <c r="D21" s="1">
        <f t="shared" si="4"/>
        <v>8.5752145535076576E-6</v>
      </c>
      <c r="E21" s="1">
        <v>8</v>
      </c>
      <c r="F21" s="1">
        <f t="shared" si="0"/>
        <v>-4.307783719548308E-3</v>
      </c>
      <c r="G21" s="1">
        <f t="shared" si="1"/>
        <v>8.5752145535076576E-6</v>
      </c>
      <c r="I21" s="1" t="s">
        <v>2</v>
      </c>
      <c r="N21" s="1">
        <v>-4.9999999999999899E-2</v>
      </c>
      <c r="P21" s="10">
        <v>45985</v>
      </c>
      <c r="Q21" s="11">
        <v>614.94000000000005</v>
      </c>
      <c r="R21" s="1">
        <f t="shared" si="2"/>
        <v>-9.2159958753583512E-3</v>
      </c>
    </row>
    <row r="22" spans="1:18" ht="19" x14ac:dyDescent="0.25">
      <c r="A22" s="5">
        <v>45985</v>
      </c>
      <c r="B22" s="1">
        <v>132.07</v>
      </c>
      <c r="C22" s="1">
        <f t="shared" si="3"/>
        <v>-1.4844099656870125E-2</v>
      </c>
      <c r="D22" s="1">
        <f t="shared" si="4"/>
        <v>1.8129714066387177E-4</v>
      </c>
      <c r="E22" s="1">
        <v>9</v>
      </c>
      <c r="F22" s="1">
        <f t="shared" si="0"/>
        <v>-1.4844099656870125E-2</v>
      </c>
      <c r="G22" s="1">
        <f t="shared" si="1"/>
        <v>1.8129714066387177E-4</v>
      </c>
      <c r="I22" s="1" t="s">
        <v>3</v>
      </c>
      <c r="N22" s="1">
        <v>-3.9999999999999897E-2</v>
      </c>
      <c r="P22" s="10">
        <v>45982</v>
      </c>
      <c r="Q22" s="11">
        <v>605.92999999999995</v>
      </c>
      <c r="R22" s="1">
        <f t="shared" si="2"/>
        <v>-1.4651835951475109E-2</v>
      </c>
    </row>
    <row r="23" spans="1:18" ht="19" x14ac:dyDescent="0.25">
      <c r="A23" s="5">
        <v>45982</v>
      </c>
      <c r="B23" s="1">
        <v>134.01</v>
      </c>
      <c r="C23" s="1">
        <f t="shared" si="3"/>
        <v>1.4689179980313454E-2</v>
      </c>
      <c r="D23" s="1">
        <f t="shared" si="4"/>
        <v>2.5820045142067253E-4</v>
      </c>
      <c r="E23" s="1">
        <v>10</v>
      </c>
      <c r="F23" s="1">
        <f t="shared" si="0"/>
        <v>1.4689179980313454E-2</v>
      </c>
      <c r="G23" s="1">
        <f t="shared" si="1"/>
        <v>2.5820045142067253E-4</v>
      </c>
      <c r="I23" s="1" t="s">
        <v>4</v>
      </c>
      <c r="N23" s="1">
        <v>-0.03</v>
      </c>
      <c r="P23" s="10">
        <v>45981</v>
      </c>
      <c r="Q23" s="11">
        <v>599.96</v>
      </c>
      <c r="R23" s="1">
        <f t="shared" si="2"/>
        <v>-9.8526232403081445E-3</v>
      </c>
    </row>
    <row r="24" spans="1:18" ht="19" x14ac:dyDescent="0.25">
      <c r="A24" s="5">
        <v>45981</v>
      </c>
      <c r="B24" s="1">
        <v>126.04</v>
      </c>
      <c r="C24" s="1">
        <f t="shared" si="3"/>
        <v>-5.9473173643757815E-2</v>
      </c>
      <c r="D24" s="1">
        <f t="shared" si="4"/>
        <v>3.3748822380996074E-3</v>
      </c>
      <c r="E24" s="1">
        <v>11</v>
      </c>
      <c r="F24" s="1">
        <f t="shared" si="0"/>
        <v>-5.9473173643757815E-2</v>
      </c>
      <c r="G24" s="1">
        <f t="shared" si="1"/>
        <v>3.3748822380996074E-3</v>
      </c>
      <c r="I24" s="1" t="s">
        <v>5</v>
      </c>
      <c r="N24" s="1">
        <v>-0.02</v>
      </c>
      <c r="P24" s="10">
        <v>45980</v>
      </c>
      <c r="Q24" s="11">
        <v>609.20000000000005</v>
      </c>
      <c r="R24" s="1">
        <f t="shared" si="2"/>
        <v>1.5401026735115689E-2</v>
      </c>
    </row>
    <row r="25" spans="1:18" ht="19" x14ac:dyDescent="0.25">
      <c r="A25" s="5">
        <v>45980</v>
      </c>
      <c r="B25" s="1">
        <v>127.26</v>
      </c>
      <c r="C25" s="1">
        <f t="shared" si="3"/>
        <v>9.6794668359250942E-3</v>
      </c>
      <c r="D25" s="1">
        <f t="shared" si="4"/>
        <v>1.2229935388751413E-4</v>
      </c>
      <c r="E25" s="1">
        <v>12</v>
      </c>
      <c r="F25" s="1">
        <f t="shared" si="0"/>
        <v>9.6794668359250942E-3</v>
      </c>
      <c r="G25" s="1">
        <f t="shared" si="1"/>
        <v>1.2229935388751413E-4</v>
      </c>
      <c r="I25" s="1" t="s">
        <v>21</v>
      </c>
      <c r="J25" s="1" t="s">
        <v>18</v>
      </c>
      <c r="K25" s="1" t="s">
        <v>19</v>
      </c>
      <c r="N25" s="1">
        <v>-0.01</v>
      </c>
      <c r="P25" s="10">
        <v>45979</v>
      </c>
      <c r="Q25" s="11">
        <v>607</v>
      </c>
      <c r="R25" s="1">
        <f t="shared" si="2"/>
        <v>-3.6112934996717751E-3</v>
      </c>
    </row>
    <row r="26" spans="1:18" ht="19" x14ac:dyDescent="0.25">
      <c r="A26" s="5">
        <v>45979</v>
      </c>
      <c r="B26" s="1">
        <v>130.4</v>
      </c>
      <c r="C26" s="1">
        <f t="shared" si="3"/>
        <v>2.4673895961024678E-2</v>
      </c>
      <c r="D26" s="1">
        <f t="shared" si="4"/>
        <v>6.787761579899452E-4</v>
      </c>
      <c r="E26" s="1">
        <v>13</v>
      </c>
      <c r="F26" s="1">
        <f t="shared" si="0"/>
        <v>2.4673895961024678E-2</v>
      </c>
      <c r="G26" s="1">
        <f t="shared" si="1"/>
        <v>6.787761579899452E-4</v>
      </c>
      <c r="I26" s="1" t="s">
        <v>17</v>
      </c>
      <c r="N26" s="1">
        <v>0</v>
      </c>
      <c r="P26" s="10">
        <v>45978</v>
      </c>
      <c r="Q26" s="11">
        <v>612.04</v>
      </c>
      <c r="R26" s="1">
        <f t="shared" si="2"/>
        <v>8.3031301482701207E-3</v>
      </c>
    </row>
    <row r="27" spans="1:18" ht="19" x14ac:dyDescent="0.25">
      <c r="A27" s="5">
        <v>45978</v>
      </c>
      <c r="B27" s="1">
        <v>129.63</v>
      </c>
      <c r="C27" s="1">
        <f t="shared" si="3"/>
        <v>-5.9049079754602005E-3</v>
      </c>
      <c r="D27" s="1">
        <f t="shared" si="4"/>
        <v>2.0479887617140509E-5</v>
      </c>
      <c r="E27" s="1">
        <v>14</v>
      </c>
      <c r="F27" s="1">
        <f t="shared" si="0"/>
        <v>-5.9049079754602005E-3</v>
      </c>
      <c r="G27" s="1">
        <f t="shared" si="1"/>
        <v>2.0479887617140509E-5</v>
      </c>
      <c r="I27" s="1" t="s">
        <v>2</v>
      </c>
      <c r="N27" s="1">
        <v>0.01</v>
      </c>
      <c r="P27" s="10">
        <v>45975</v>
      </c>
      <c r="Q27" s="11">
        <v>617.83000000000004</v>
      </c>
      <c r="R27" s="1">
        <f t="shared" si="2"/>
        <v>9.4601660022222041E-3</v>
      </c>
    </row>
    <row r="28" spans="1:18" ht="19" x14ac:dyDescent="0.25">
      <c r="A28" s="5">
        <v>45975</v>
      </c>
      <c r="B28" s="1">
        <v>132.03</v>
      </c>
      <c r="C28" s="1">
        <f t="shared" si="3"/>
        <v>1.851423281647771E-2</v>
      </c>
      <c r="D28" s="1">
        <f t="shared" si="4"/>
        <v>3.9575809847071608E-4</v>
      </c>
      <c r="E28" s="1">
        <v>15</v>
      </c>
      <c r="F28" s="1">
        <f t="shared" si="0"/>
        <v>1.851423281647771E-2</v>
      </c>
      <c r="G28" s="1">
        <f t="shared" si="1"/>
        <v>3.9575809847071608E-4</v>
      </c>
      <c r="I28" s="1" t="s">
        <v>3</v>
      </c>
      <c r="N28" s="1">
        <v>0.02</v>
      </c>
      <c r="P28" s="10">
        <v>45974</v>
      </c>
      <c r="Q28" s="11">
        <v>617.99</v>
      </c>
      <c r="R28" s="1">
        <f t="shared" si="2"/>
        <v>2.5897091432913288E-4</v>
      </c>
    </row>
    <row r="29" spans="1:18" ht="19" x14ac:dyDescent="0.25">
      <c r="A29" s="5">
        <v>45974</v>
      </c>
      <c r="B29" s="1">
        <v>135.18</v>
      </c>
      <c r="C29" s="1">
        <f t="shared" si="3"/>
        <v>2.3858214042263164E-2</v>
      </c>
      <c r="D29" s="1">
        <f t="shared" si="4"/>
        <v>6.3693902975512707E-4</v>
      </c>
      <c r="E29" s="1">
        <v>16</v>
      </c>
      <c r="F29" s="1">
        <f t="shared" si="0"/>
        <v>2.3858214042263164E-2</v>
      </c>
      <c r="G29" s="1">
        <f t="shared" si="1"/>
        <v>6.3693902975512707E-4</v>
      </c>
      <c r="I29" s="1" t="s">
        <v>4</v>
      </c>
      <c r="N29" s="1">
        <v>0.03</v>
      </c>
      <c r="P29" s="10">
        <v>45973</v>
      </c>
      <c r="Q29" s="11">
        <v>628.22</v>
      </c>
      <c r="R29" s="1">
        <f t="shared" si="2"/>
        <v>1.655366591692425E-2</v>
      </c>
    </row>
    <row r="30" spans="1:18" ht="19" x14ac:dyDescent="0.25">
      <c r="A30" s="5">
        <v>45973</v>
      </c>
      <c r="B30" s="1">
        <v>138.58000000000001</v>
      </c>
      <c r="C30" s="1">
        <f t="shared" si="3"/>
        <v>2.5151649652315471E-2</v>
      </c>
      <c r="D30" s="1">
        <f t="shared" si="4"/>
        <v>7.0389855855748629E-4</v>
      </c>
      <c r="E30" s="1">
        <v>17</v>
      </c>
      <c r="F30" s="1">
        <f t="shared" si="0"/>
        <v>2.5151649652315471E-2</v>
      </c>
      <c r="G30" s="1">
        <f t="shared" si="1"/>
        <v>7.0389855855748629E-4</v>
      </c>
      <c r="I30" s="1" t="s">
        <v>5</v>
      </c>
      <c r="N30" s="1">
        <v>0.04</v>
      </c>
      <c r="P30" s="10">
        <v>45972</v>
      </c>
      <c r="Q30" s="11">
        <v>627.91</v>
      </c>
      <c r="R30" s="1">
        <f t="shared" si="2"/>
        <v>-4.9345770589930135E-4</v>
      </c>
    </row>
    <row r="31" spans="1:18" ht="19" x14ac:dyDescent="0.25">
      <c r="A31" s="5">
        <v>45972</v>
      </c>
      <c r="B31" s="1">
        <v>139.22999999999999</v>
      </c>
      <c r="C31" s="1">
        <f t="shared" si="3"/>
        <v>4.690431519699648E-3</v>
      </c>
      <c r="D31" s="1">
        <f t="shared" si="4"/>
        <v>3.6843303756028867E-5</v>
      </c>
      <c r="E31" s="1">
        <v>18</v>
      </c>
      <c r="F31" s="1">
        <f t="shared" si="0"/>
        <v>4.690431519699648E-3</v>
      </c>
      <c r="G31" s="1">
        <f t="shared" si="1"/>
        <v>3.6843303756028867E-5</v>
      </c>
      <c r="N31" s="1">
        <v>0.05</v>
      </c>
      <c r="P31" s="10">
        <v>45971</v>
      </c>
      <c r="Q31" s="11">
        <v>626.47</v>
      </c>
      <c r="R31" s="1">
        <f t="shared" si="2"/>
        <v>-2.2933222914110953E-3</v>
      </c>
    </row>
    <row r="32" spans="1:18" ht="20" thickBot="1" x14ac:dyDescent="0.3">
      <c r="A32" s="5">
        <v>45971</v>
      </c>
      <c r="B32" s="1">
        <v>137.49</v>
      </c>
      <c r="C32" s="1">
        <f t="shared" si="3"/>
        <v>-1.2497306614953536E-2</v>
      </c>
      <c r="D32" s="1">
        <f t="shared" si="4"/>
        <v>1.2360702494071003E-4</v>
      </c>
      <c r="E32" s="1">
        <v>19</v>
      </c>
      <c r="F32" s="1">
        <f t="shared" si="0"/>
        <v>-1.2497306614953536E-2</v>
      </c>
      <c r="G32" s="1">
        <f t="shared" si="1"/>
        <v>1.2360702494071003E-4</v>
      </c>
      <c r="N32" s="1">
        <v>0.06</v>
      </c>
      <c r="P32" s="10">
        <v>45968</v>
      </c>
      <c r="Q32" s="11">
        <v>616.89</v>
      </c>
      <c r="R32" s="1">
        <f t="shared" si="2"/>
        <v>-1.5292033138059349E-2</v>
      </c>
    </row>
    <row r="33" spans="1:18" ht="19" x14ac:dyDescent="0.25">
      <c r="A33" s="5">
        <v>45968</v>
      </c>
      <c r="B33" s="1">
        <v>139.62</v>
      </c>
      <c r="C33" s="1">
        <f t="shared" si="3"/>
        <v>1.5492035784420651E-2</v>
      </c>
      <c r="D33" s="1">
        <f t="shared" si="4"/>
        <v>2.8464659366414275E-4</v>
      </c>
      <c r="E33" s="1">
        <v>20</v>
      </c>
      <c r="F33" s="1">
        <f t="shared" si="0"/>
        <v>1.5492035784420651E-2</v>
      </c>
      <c r="G33" s="1">
        <f t="shared" si="1"/>
        <v>2.8464659366414275E-4</v>
      </c>
      <c r="I33" s="6" t="s">
        <v>47</v>
      </c>
      <c r="J33" s="6"/>
      <c r="N33" s="1">
        <v>7.0000000000000007E-2</v>
      </c>
      <c r="P33" s="10">
        <v>45967</v>
      </c>
      <c r="Q33" s="11">
        <v>616.24</v>
      </c>
      <c r="R33" s="1">
        <f t="shared" si="2"/>
        <v>-1.0536724537599529E-3</v>
      </c>
    </row>
    <row r="34" spans="1:18" ht="19" x14ac:dyDescent="0.25">
      <c r="A34" s="5">
        <v>45967</v>
      </c>
      <c r="B34" s="1">
        <v>137.41999999999999</v>
      </c>
      <c r="C34" s="1">
        <f t="shared" si="3"/>
        <v>-1.5757054863200236E-2</v>
      </c>
      <c r="D34" s="1">
        <f t="shared" si="4"/>
        <v>2.0671589563437209E-4</v>
      </c>
      <c r="E34" s="1">
        <v>21</v>
      </c>
      <c r="F34" s="1">
        <f t="shared" si="0"/>
        <v>-1.5757054863200236E-2</v>
      </c>
      <c r="G34" s="1">
        <f t="shared" si="1"/>
        <v>2.0671589563437209E-4</v>
      </c>
      <c r="N34" s="1">
        <v>0.08</v>
      </c>
      <c r="P34" s="10">
        <v>45966</v>
      </c>
      <c r="Q34" s="11">
        <v>622.86</v>
      </c>
      <c r="R34" s="1">
        <f t="shared" si="2"/>
        <v>1.0742567830715312E-2</v>
      </c>
    </row>
    <row r="35" spans="1:18" ht="19" x14ac:dyDescent="0.25">
      <c r="A35" s="5">
        <v>45966</v>
      </c>
      <c r="B35" s="1">
        <v>140.5</v>
      </c>
      <c r="C35" s="1">
        <f t="shared" si="3"/>
        <v>2.2413040314364814E-2</v>
      </c>
      <c r="D35" s="1">
        <f t="shared" si="4"/>
        <v>5.6608197640017053E-4</v>
      </c>
      <c r="E35" s="1">
        <v>22</v>
      </c>
      <c r="F35" s="1">
        <f t="shared" si="0"/>
        <v>2.2413040314364814E-2</v>
      </c>
      <c r="G35" s="1">
        <f t="shared" si="1"/>
        <v>5.6608197640017053E-4</v>
      </c>
      <c r="I35" s="1" t="s">
        <v>33</v>
      </c>
      <c r="J35" s="1">
        <v>1.3611884662696608E-3</v>
      </c>
      <c r="N35" s="1">
        <v>0.09</v>
      </c>
      <c r="P35" s="10">
        <v>45965</v>
      </c>
      <c r="Q35" s="11">
        <v>620.99</v>
      </c>
      <c r="R35" s="1">
        <f t="shared" si="2"/>
        <v>-3.002279806055943E-3</v>
      </c>
    </row>
    <row r="36" spans="1:18" ht="19" x14ac:dyDescent="0.25">
      <c r="A36" s="5">
        <v>45965</v>
      </c>
      <c r="B36" s="1">
        <v>141.08000000000001</v>
      </c>
      <c r="C36" s="1">
        <f t="shared" si="3"/>
        <v>4.1281138790036477E-3</v>
      </c>
      <c r="D36" s="1">
        <f t="shared" si="4"/>
        <v>3.0333116602777763E-5</v>
      </c>
      <c r="E36" s="1">
        <v>23</v>
      </c>
      <c r="F36" s="1">
        <f t="shared" si="0"/>
        <v>4.1281138790036477E-3</v>
      </c>
      <c r="G36" s="1">
        <f t="shared" si="1"/>
        <v>3.0333116602777763E-5</v>
      </c>
      <c r="I36" s="1" t="s">
        <v>34</v>
      </c>
      <c r="J36" s="1">
        <v>1.5825747491363185E-3</v>
      </c>
      <c r="N36" s="1">
        <v>0.1</v>
      </c>
      <c r="P36" s="10">
        <v>45964</v>
      </c>
      <c r="Q36" s="11">
        <v>628.27</v>
      </c>
      <c r="R36" s="1">
        <f t="shared" si="2"/>
        <v>1.172321615484947E-2</v>
      </c>
    </row>
    <row r="37" spans="1:18" ht="19" x14ac:dyDescent="0.25">
      <c r="A37" s="5">
        <v>45964</v>
      </c>
      <c r="B37" s="1">
        <v>137.24</v>
      </c>
      <c r="C37" s="1">
        <f t="shared" si="3"/>
        <v>-2.7218599376240452E-2</v>
      </c>
      <c r="D37" s="1">
        <f t="shared" si="4"/>
        <v>6.6766231269059961E-4</v>
      </c>
      <c r="E37" s="1">
        <v>24</v>
      </c>
      <c r="F37" s="1">
        <f t="shared" si="0"/>
        <v>-2.7218599376240452E-2</v>
      </c>
      <c r="G37" s="1">
        <f t="shared" si="1"/>
        <v>6.6766231269059961E-4</v>
      </c>
      <c r="I37" s="1" t="s">
        <v>35</v>
      </c>
      <c r="J37" s="1">
        <v>1.0684432153855036E-3</v>
      </c>
      <c r="N37" s="1">
        <v>0.11</v>
      </c>
      <c r="P37" s="10">
        <v>45961</v>
      </c>
      <c r="Q37" s="11">
        <v>627.04</v>
      </c>
      <c r="R37" s="1">
        <f t="shared" si="2"/>
        <v>-1.9577570152960007E-3</v>
      </c>
    </row>
    <row r="38" spans="1:18" ht="19" x14ac:dyDescent="0.25">
      <c r="A38" s="5">
        <v>45961</v>
      </c>
      <c r="B38" s="1">
        <v>140.13999999999999</v>
      </c>
      <c r="C38" s="1">
        <f t="shared" si="3"/>
        <v>2.1130865636840405E-2</v>
      </c>
      <c r="D38" s="1">
        <f t="shared" si="4"/>
        <v>5.067137244668486E-4</v>
      </c>
      <c r="E38" s="1">
        <v>25</v>
      </c>
      <c r="F38" s="1">
        <f t="shared" si="0"/>
        <v>2.1130865636840405E-2</v>
      </c>
      <c r="G38" s="1">
        <f t="shared" si="1"/>
        <v>5.067137244668486E-4</v>
      </c>
      <c r="I38" s="1" t="s">
        <v>36</v>
      </c>
      <c r="J38" s="1" t="e">
        <v>#N/A</v>
      </c>
      <c r="P38" s="10">
        <v>45960</v>
      </c>
      <c r="Q38" s="11">
        <v>625.24</v>
      </c>
      <c r="R38" s="1">
        <f t="shared" si="2"/>
        <v>-2.8706302628220761E-3</v>
      </c>
    </row>
    <row r="39" spans="1:18" ht="19" x14ac:dyDescent="0.25">
      <c r="A39" s="5">
        <v>45960</v>
      </c>
      <c r="B39" s="1">
        <v>136.97999999999999</v>
      </c>
      <c r="C39" s="1">
        <f t="shared" si="3"/>
        <v>-2.2548879691736811E-2</v>
      </c>
      <c r="D39" s="1">
        <f t="shared" si="4"/>
        <v>4.4814530419405222E-4</v>
      </c>
      <c r="E39" s="1">
        <v>26</v>
      </c>
      <c r="F39" s="1">
        <f t="shared" si="0"/>
        <v>-2.2548879691736811E-2</v>
      </c>
      <c r="G39" s="1">
        <f t="shared" si="1"/>
        <v>4.4814530419405222E-4</v>
      </c>
      <c r="I39" s="1" t="s">
        <v>37</v>
      </c>
      <c r="J39" s="1">
        <v>2.4972608320204887E-2</v>
      </c>
      <c r="P39" s="10">
        <v>45959</v>
      </c>
      <c r="Q39" s="11">
        <v>631.95000000000005</v>
      </c>
      <c r="R39" s="1">
        <f t="shared" si="2"/>
        <v>1.0731878958480002E-2</v>
      </c>
    </row>
    <row r="40" spans="1:18" ht="19" x14ac:dyDescent="0.25">
      <c r="A40" s="5">
        <v>45959</v>
      </c>
      <c r="B40" s="1">
        <v>135.86000000000001</v>
      </c>
      <c r="C40" s="1">
        <f t="shared" si="3"/>
        <v>-8.1763761133010378E-3</v>
      </c>
      <c r="D40" s="1">
        <f t="shared" si="4"/>
        <v>4.6198381411163287E-5</v>
      </c>
      <c r="E40" s="1">
        <v>27</v>
      </c>
      <c r="F40" s="1">
        <f t="shared" si="0"/>
        <v>-8.1763761133010378E-3</v>
      </c>
      <c r="G40" s="1">
        <f t="shared" si="1"/>
        <v>4.6198381411163287E-5</v>
      </c>
      <c r="I40" s="1" t="s">
        <v>38</v>
      </c>
      <c r="J40" s="1">
        <v>6.2363116631436639E-4</v>
      </c>
      <c r="P40" s="10">
        <v>45958</v>
      </c>
      <c r="Q40" s="11">
        <v>631.69000000000005</v>
      </c>
      <c r="R40" s="1">
        <f t="shared" si="2"/>
        <v>-4.1142495450588001E-4</v>
      </c>
    </row>
    <row r="41" spans="1:18" ht="19" x14ac:dyDescent="0.25">
      <c r="A41" s="5">
        <v>45958</v>
      </c>
      <c r="B41" s="1">
        <v>135.82</v>
      </c>
      <c r="C41" s="1">
        <f t="shared" si="3"/>
        <v>-2.9442072721934685E-4</v>
      </c>
      <c r="D41" s="1">
        <f t="shared" si="4"/>
        <v>1.1772602960372821E-6</v>
      </c>
      <c r="E41" s="1">
        <v>28</v>
      </c>
      <c r="F41" s="1">
        <f t="shared" si="0"/>
        <v>-2.9442072721934685E-4</v>
      </c>
      <c r="G41" s="1">
        <f t="shared" si="1"/>
        <v>1.1772602960372821E-6</v>
      </c>
      <c r="I41" s="1" t="s">
        <v>39</v>
      </c>
      <c r="J41" s="1">
        <v>4.2867511508927318</v>
      </c>
      <c r="P41" s="10">
        <v>45957</v>
      </c>
      <c r="Q41" s="11">
        <v>630</v>
      </c>
      <c r="R41" s="1">
        <f t="shared" si="2"/>
        <v>-2.6753629153541364E-3</v>
      </c>
    </row>
    <row r="42" spans="1:18" ht="19" x14ac:dyDescent="0.25">
      <c r="A42" s="5">
        <v>45957</v>
      </c>
      <c r="B42" s="1">
        <v>136.46</v>
      </c>
      <c r="C42" s="1">
        <f t="shared" si="3"/>
        <v>4.7121189810043797E-3</v>
      </c>
      <c r="D42" s="1">
        <f t="shared" si="4"/>
        <v>3.7107054178975267E-5</v>
      </c>
      <c r="E42" s="1">
        <v>29</v>
      </c>
      <c r="F42" s="1">
        <f t="shared" si="0"/>
        <v>4.7121189810043797E-3</v>
      </c>
      <c r="G42" s="1">
        <f t="shared" si="1"/>
        <v>3.7107054178975267E-5</v>
      </c>
      <c r="I42" s="1" t="s">
        <v>40</v>
      </c>
      <c r="J42" s="1">
        <v>0.1819121240613443</v>
      </c>
      <c r="P42" s="10">
        <v>45954</v>
      </c>
      <c r="Q42" s="11">
        <v>622.54999999999995</v>
      </c>
      <c r="R42" s="1">
        <f t="shared" si="2"/>
        <v>-1.1825396825396897E-2</v>
      </c>
    </row>
    <row r="43" spans="1:18" ht="19" x14ac:dyDescent="0.25">
      <c r="A43" s="5">
        <v>45954</v>
      </c>
      <c r="B43" s="1">
        <v>135.85</v>
      </c>
      <c r="C43" s="1">
        <f t="shared" si="3"/>
        <v>-4.470174410083641E-3</v>
      </c>
      <c r="D43" s="1">
        <f t="shared" si="4"/>
        <v>9.5526577841276947E-6</v>
      </c>
      <c r="E43" s="1">
        <v>30</v>
      </c>
      <c r="F43" s="1">
        <f t="shared" si="0"/>
        <v>-4.470174410083641E-3</v>
      </c>
      <c r="G43" s="1">
        <f t="shared" si="1"/>
        <v>9.5526577841276947E-6</v>
      </c>
      <c r="I43" s="1" t="s">
        <v>41</v>
      </c>
      <c r="J43" s="1">
        <v>0.21052587958158583</v>
      </c>
      <c r="P43" s="10">
        <v>45953</v>
      </c>
      <c r="Q43" s="11">
        <v>617.44000000000005</v>
      </c>
      <c r="R43" s="1">
        <f t="shared" si="2"/>
        <v>-8.2081760501162958E-3</v>
      </c>
    </row>
    <row r="44" spans="1:18" ht="19" x14ac:dyDescent="0.25">
      <c r="A44" s="5">
        <v>45953</v>
      </c>
      <c r="B44" s="1">
        <v>135.59</v>
      </c>
      <c r="C44" s="1">
        <f t="shared" si="3"/>
        <v>-1.9138755980860575E-3</v>
      </c>
      <c r="D44" s="1">
        <f t="shared" si="4"/>
        <v>2.856246230847624E-7</v>
      </c>
      <c r="E44" s="1">
        <v>31</v>
      </c>
      <c r="F44" s="1">
        <f t="shared" si="0"/>
        <v>-1.9138755980860575E-3</v>
      </c>
      <c r="G44" s="1">
        <f t="shared" si="1"/>
        <v>2.856246230847624E-7</v>
      </c>
      <c r="I44" s="1" t="s">
        <v>42</v>
      </c>
      <c r="J44" s="1">
        <v>-0.1036033298900163</v>
      </c>
      <c r="P44" s="10">
        <v>45952</v>
      </c>
      <c r="Q44" s="11">
        <v>613.97</v>
      </c>
      <c r="R44" s="1">
        <f t="shared" si="2"/>
        <v>-5.6199792692407796E-3</v>
      </c>
    </row>
    <row r="45" spans="1:18" ht="19" x14ac:dyDescent="0.25">
      <c r="A45" s="5">
        <v>45952</v>
      </c>
      <c r="B45" s="1">
        <v>140.74</v>
      </c>
      <c r="C45" s="1">
        <f t="shared" si="3"/>
        <v>3.7982152076111851E-2</v>
      </c>
      <c r="D45" s="1">
        <f t="shared" si="4"/>
        <v>1.549334694010389E-3</v>
      </c>
      <c r="E45" s="1">
        <v>32</v>
      </c>
      <c r="F45" s="1">
        <f t="shared" si="0"/>
        <v>3.7982152076111851E-2</v>
      </c>
      <c r="G45" s="1">
        <f t="shared" si="1"/>
        <v>1.549334694010389E-3</v>
      </c>
      <c r="I45" s="1" t="s">
        <v>43</v>
      </c>
      <c r="J45" s="1">
        <v>0.10692254969156953</v>
      </c>
      <c r="P45" s="10">
        <v>45951</v>
      </c>
      <c r="Q45" s="11">
        <v>617.09</v>
      </c>
      <c r="R45" s="1">
        <f t="shared" si="2"/>
        <v>5.0816815153834948E-3</v>
      </c>
    </row>
    <row r="46" spans="1:18" ht="19" x14ac:dyDescent="0.25">
      <c r="A46" s="5">
        <v>45951</v>
      </c>
      <c r="B46" s="1">
        <v>144.07</v>
      </c>
      <c r="C46" s="1">
        <f t="shared" si="3"/>
        <v>2.3660650845530651E-2</v>
      </c>
      <c r="D46" s="1">
        <f t="shared" si="4"/>
        <v>6.2700599893891469E-4</v>
      </c>
      <c r="E46" s="1">
        <v>33</v>
      </c>
      <c r="F46" s="1">
        <f t="shared" si="0"/>
        <v>2.3660650845530651E-2</v>
      </c>
      <c r="G46" s="1">
        <f t="shared" si="1"/>
        <v>6.2700599893891469E-4</v>
      </c>
      <c r="I46" s="1" t="s">
        <v>44</v>
      </c>
      <c r="J46" s="1">
        <v>0.33893592810114553</v>
      </c>
      <c r="P46" s="10">
        <v>45950</v>
      </c>
      <c r="Q46" s="11">
        <v>617.16999999999996</v>
      </c>
      <c r="R46" s="1">
        <f t="shared" si="2"/>
        <v>1.2964073311822787E-4</v>
      </c>
    </row>
    <row r="47" spans="1:18" ht="19" x14ac:dyDescent="0.25">
      <c r="A47" s="5">
        <v>45950</v>
      </c>
      <c r="B47" s="1">
        <v>140.43</v>
      </c>
      <c r="C47" s="1">
        <f t="shared" si="3"/>
        <v>-2.5265495939473772E-2</v>
      </c>
      <c r="D47" s="1">
        <f t="shared" si="4"/>
        <v>5.7054381201580254E-4</v>
      </c>
      <c r="E47" s="1">
        <v>34</v>
      </c>
      <c r="F47" s="1">
        <f t="shared" si="0"/>
        <v>-2.5265495939473772E-2</v>
      </c>
      <c r="G47" s="1">
        <f t="shared" si="1"/>
        <v>5.7054381201580254E-4</v>
      </c>
      <c r="I47" s="1" t="s">
        <v>45</v>
      </c>
      <c r="J47" s="1">
        <v>249</v>
      </c>
      <c r="P47" s="10">
        <v>45947</v>
      </c>
      <c r="Q47" s="11">
        <v>610.76</v>
      </c>
      <c r="R47" s="1">
        <f t="shared" si="2"/>
        <v>-1.038611727724933E-2</v>
      </c>
    </row>
    <row r="48" spans="1:18" ht="20" thickBot="1" x14ac:dyDescent="0.3">
      <c r="A48" s="5">
        <v>45947</v>
      </c>
      <c r="B48" s="1">
        <v>137.77000000000001</v>
      </c>
      <c r="C48" s="1">
        <f t="shared" si="3"/>
        <v>-1.8941821548102231E-2</v>
      </c>
      <c r="D48" s="1">
        <f t="shared" si="4"/>
        <v>3.0843735127701529E-4</v>
      </c>
      <c r="E48" s="1">
        <v>35</v>
      </c>
      <c r="F48" s="1">
        <f t="shared" si="0"/>
        <v>-1.8941821548102231E-2</v>
      </c>
      <c r="G48" s="1">
        <f t="shared" si="1"/>
        <v>3.0843735127701529E-4</v>
      </c>
      <c r="I48" s="7" t="s">
        <v>46</v>
      </c>
      <c r="J48" s="7">
        <v>3.1170006959423072E-3</v>
      </c>
      <c r="P48" s="10">
        <v>45946</v>
      </c>
      <c r="Q48" s="11">
        <v>607.39</v>
      </c>
      <c r="R48" s="1">
        <f t="shared" si="2"/>
        <v>-5.517715632981866E-3</v>
      </c>
    </row>
    <row r="49" spans="1:18" ht="19" x14ac:dyDescent="0.25">
      <c r="A49" s="5">
        <v>45946</v>
      </c>
      <c r="B49" s="1">
        <v>137.83000000000001</v>
      </c>
      <c r="C49" s="1">
        <f t="shared" si="3"/>
        <v>4.3550845612253951E-4</v>
      </c>
      <c r="D49" s="1">
        <f t="shared" si="4"/>
        <v>3.2940269816658705E-6</v>
      </c>
      <c r="E49" s="1">
        <v>36</v>
      </c>
      <c r="F49" s="1">
        <f t="shared" si="0"/>
        <v>4.3550845612253951E-4</v>
      </c>
      <c r="G49" s="1">
        <f t="shared" si="1"/>
        <v>3.2940269816658705E-6</v>
      </c>
      <c r="P49" s="10">
        <v>45945</v>
      </c>
      <c r="Q49" s="11">
        <v>611.42999999999995</v>
      </c>
      <c r="R49" s="1">
        <f t="shared" si="2"/>
        <v>6.6514101318756709E-3</v>
      </c>
    </row>
    <row r="50" spans="1:18" ht="19" x14ac:dyDescent="0.25">
      <c r="A50" s="5">
        <v>45945</v>
      </c>
      <c r="B50" s="1">
        <v>134.77000000000001</v>
      </c>
      <c r="C50" s="1">
        <f t="shared" si="3"/>
        <v>-2.2201262424726125E-2</v>
      </c>
      <c r="D50" s="1">
        <f t="shared" si="4"/>
        <v>4.3354841432791656E-4</v>
      </c>
      <c r="E50" s="1">
        <v>37</v>
      </c>
      <c r="F50" s="1">
        <f t="shared" si="0"/>
        <v>-2.2201262424726125E-2</v>
      </c>
      <c r="G50" s="1">
        <f t="shared" si="1"/>
        <v>4.3354841432791656E-4</v>
      </c>
      <c r="P50" s="10">
        <v>45944</v>
      </c>
      <c r="Q50" s="11">
        <v>608.75</v>
      </c>
      <c r="R50" s="1">
        <f t="shared" si="2"/>
        <v>-4.3831673290482152E-3</v>
      </c>
    </row>
    <row r="51" spans="1:18" ht="19" x14ac:dyDescent="0.25">
      <c r="A51" s="5">
        <v>45944</v>
      </c>
      <c r="B51" s="1">
        <v>135.16</v>
      </c>
      <c r="C51" s="1">
        <f t="shared" si="3"/>
        <v>2.8938190992059535E-3</v>
      </c>
      <c r="D51" s="1">
        <f t="shared" si="4"/>
        <v>1.8260717625749858E-5</v>
      </c>
      <c r="E51" s="1">
        <v>38</v>
      </c>
      <c r="F51" s="1">
        <f t="shared" si="0"/>
        <v>2.8938190992059535E-3</v>
      </c>
      <c r="G51" s="1">
        <f t="shared" si="1"/>
        <v>1.8260717625749858E-5</v>
      </c>
      <c r="P51" s="10">
        <v>45943</v>
      </c>
      <c r="Q51" s="11">
        <v>609.61</v>
      </c>
      <c r="R51" s="1">
        <f t="shared" si="2"/>
        <v>1.4127310061601867E-3</v>
      </c>
    </row>
    <row r="52" spans="1:18" ht="19" x14ac:dyDescent="0.25">
      <c r="A52" s="5">
        <v>45943</v>
      </c>
      <c r="B52" s="1">
        <v>135.91</v>
      </c>
      <c r="C52" s="1">
        <f t="shared" si="3"/>
        <v>5.5489789878662328E-3</v>
      </c>
      <c r="D52" s="1">
        <f t="shared" si="4"/>
        <v>4.800294799772026E-5</v>
      </c>
      <c r="E52" s="1">
        <v>39</v>
      </c>
      <c r="F52" s="1">
        <f t="shared" si="0"/>
        <v>5.5489789878662328E-3</v>
      </c>
      <c r="G52" s="1">
        <f t="shared" si="1"/>
        <v>4.800294799772026E-5</v>
      </c>
      <c r="P52" s="10">
        <v>45940</v>
      </c>
      <c r="Q52" s="11">
        <v>600.51</v>
      </c>
      <c r="R52" s="1">
        <f t="shared" si="2"/>
        <v>-1.4927576647364745E-2</v>
      </c>
    </row>
    <row r="53" spans="1:18" ht="19" x14ac:dyDescent="0.25">
      <c r="A53" s="5">
        <v>45940</v>
      </c>
      <c r="B53" s="1">
        <v>134.04</v>
      </c>
      <c r="C53" s="1">
        <f t="shared" si="3"/>
        <v>-1.3759105290265651E-2</v>
      </c>
      <c r="D53" s="1">
        <f t="shared" si="4"/>
        <v>1.5325618716140657E-4</v>
      </c>
      <c r="E53" s="1">
        <v>40</v>
      </c>
      <c r="F53" s="1">
        <f t="shared" si="0"/>
        <v>-1.3759105290265651E-2</v>
      </c>
      <c r="G53" s="1">
        <f t="shared" si="1"/>
        <v>1.5325618716140657E-4</v>
      </c>
      <c r="P53" s="10">
        <v>45939</v>
      </c>
      <c r="Q53" s="11">
        <v>617.1</v>
      </c>
      <c r="R53" s="1">
        <f t="shared" si="2"/>
        <v>2.7626517460158918E-2</v>
      </c>
    </row>
    <row r="54" spans="1:18" ht="19" x14ac:dyDescent="0.25">
      <c r="A54" s="5">
        <v>45939</v>
      </c>
      <c r="B54" s="1">
        <v>141</v>
      </c>
      <c r="C54" s="1">
        <f t="shared" si="3"/>
        <v>5.1924798567591829E-2</v>
      </c>
      <c r="D54" s="1">
        <f t="shared" si="4"/>
        <v>2.8413415286513443E-3</v>
      </c>
      <c r="E54" s="1">
        <v>41</v>
      </c>
      <c r="F54" s="1">
        <f t="shared" si="0"/>
        <v>5.1924798567591829E-2</v>
      </c>
      <c r="G54" s="1">
        <f t="shared" si="1"/>
        <v>2.8413415286513443E-3</v>
      </c>
      <c r="P54" s="10">
        <v>45938</v>
      </c>
      <c r="Q54" s="11">
        <v>618.77</v>
      </c>
      <c r="R54" s="1">
        <f t="shared" si="2"/>
        <v>2.7062064495218911E-3</v>
      </c>
    </row>
    <row r="55" spans="1:18" ht="19" x14ac:dyDescent="0.25">
      <c r="A55" s="5">
        <v>45938</v>
      </c>
      <c r="B55" s="1">
        <v>144.49</v>
      </c>
      <c r="C55" s="1">
        <f t="shared" si="3"/>
        <v>2.4751773049645456E-2</v>
      </c>
      <c r="D55" s="1">
        <f t="shared" si="4"/>
        <v>6.8284013826946206E-4</v>
      </c>
      <c r="E55" s="1">
        <v>42</v>
      </c>
      <c r="F55" s="1">
        <f t="shared" si="0"/>
        <v>2.4751773049645456E-2</v>
      </c>
      <c r="G55" s="1">
        <f t="shared" si="1"/>
        <v>6.8284013826946206E-4</v>
      </c>
      <c r="P55" s="10">
        <v>45937</v>
      </c>
      <c r="Q55" s="11">
        <v>615.20000000000005</v>
      </c>
      <c r="R55" s="1">
        <f t="shared" si="2"/>
        <v>-5.769510480469215E-3</v>
      </c>
    </row>
    <row r="56" spans="1:18" ht="19" x14ac:dyDescent="0.25">
      <c r="A56" s="5">
        <v>45937</v>
      </c>
      <c r="B56" s="1">
        <v>141.08000000000001</v>
      </c>
      <c r="C56" s="1">
        <f t="shared" si="3"/>
        <v>-2.3600249152190438E-2</v>
      </c>
      <c r="D56" s="1">
        <f t="shared" si="4"/>
        <v>4.9376449303391767E-4</v>
      </c>
      <c r="E56" s="1">
        <v>43</v>
      </c>
      <c r="F56" s="1">
        <f t="shared" si="0"/>
        <v>-2.3600249152190438E-2</v>
      </c>
      <c r="G56" s="1">
        <f t="shared" si="1"/>
        <v>4.9376449303391767E-4</v>
      </c>
      <c r="P56" s="10">
        <v>45936</v>
      </c>
      <c r="Q56" s="11">
        <v>617.4</v>
      </c>
      <c r="R56" s="1">
        <f t="shared" si="2"/>
        <v>3.5760728218464429E-3</v>
      </c>
    </row>
    <row r="57" spans="1:18" ht="19" x14ac:dyDescent="0.25">
      <c r="A57" s="5">
        <v>45936</v>
      </c>
      <c r="B57" s="1">
        <v>142.54</v>
      </c>
      <c r="C57" s="1">
        <f t="shared" si="3"/>
        <v>1.0348738304507934E-2</v>
      </c>
      <c r="D57" s="1">
        <f t="shared" si="4"/>
        <v>1.3755009579857619E-4</v>
      </c>
      <c r="E57" s="1">
        <v>44</v>
      </c>
      <c r="F57" s="1">
        <f t="shared" si="0"/>
        <v>1.0348738304507934E-2</v>
      </c>
      <c r="G57" s="1">
        <f t="shared" si="1"/>
        <v>1.3755009579857619E-4</v>
      </c>
      <c r="P57" s="10">
        <v>45933</v>
      </c>
      <c r="Q57" s="11">
        <v>615.29999999999995</v>
      </c>
      <c r="R57" s="1">
        <f t="shared" si="2"/>
        <v>-3.4013605442177242E-3</v>
      </c>
    </row>
    <row r="58" spans="1:18" ht="19" x14ac:dyDescent="0.25">
      <c r="A58" s="5">
        <v>45933</v>
      </c>
      <c r="B58" s="1">
        <v>141.05000000000001</v>
      </c>
      <c r="C58" s="1">
        <f t="shared" si="3"/>
        <v>-1.0453206117580894E-2</v>
      </c>
      <c r="D58" s="1">
        <f t="shared" si="4"/>
        <v>8.233328613432042E-5</v>
      </c>
      <c r="E58" s="1">
        <v>45</v>
      </c>
      <c r="F58" s="1">
        <f t="shared" si="0"/>
        <v>-1.0453206117580894E-2</v>
      </c>
      <c r="G58" s="1">
        <f t="shared" si="1"/>
        <v>8.233328613432042E-5</v>
      </c>
      <c r="P58" s="10">
        <v>45932</v>
      </c>
      <c r="Q58" s="11">
        <v>615.25</v>
      </c>
      <c r="R58" s="1">
        <f t="shared" si="2"/>
        <v>-8.1261173411270159E-5</v>
      </c>
    </row>
    <row r="59" spans="1:18" ht="19" x14ac:dyDescent="0.25">
      <c r="A59" s="5">
        <v>45932</v>
      </c>
      <c r="B59" s="1">
        <v>140.32</v>
      </c>
      <c r="C59" s="1">
        <f t="shared" si="3"/>
        <v>-5.1754696915988522E-3</v>
      </c>
      <c r="D59" s="1">
        <f t="shared" si="4"/>
        <v>1.4409864252229905E-5</v>
      </c>
      <c r="E59" s="1">
        <v>46</v>
      </c>
      <c r="F59" s="1">
        <f t="shared" si="0"/>
        <v>-5.1754696915988522E-3</v>
      </c>
      <c r="G59" s="1">
        <f t="shared" si="1"/>
        <v>1.4409864252229905E-5</v>
      </c>
      <c r="P59" s="10">
        <v>45931</v>
      </c>
      <c r="Q59" s="11">
        <v>614.57000000000005</v>
      </c>
      <c r="R59" s="1">
        <f t="shared" si="2"/>
        <v>-1.1052417716374645E-3</v>
      </c>
    </row>
    <row r="60" spans="1:18" ht="19" x14ac:dyDescent="0.25">
      <c r="A60" s="5">
        <v>45931</v>
      </c>
      <c r="B60" s="1">
        <v>138.96</v>
      </c>
      <c r="C60" s="1">
        <f t="shared" si="3"/>
        <v>-9.6921322690990963E-3</v>
      </c>
      <c r="D60" s="1">
        <f t="shared" si="4"/>
        <v>6.9100902760721794E-5</v>
      </c>
      <c r="E60" s="1">
        <v>47</v>
      </c>
      <c r="F60" s="1">
        <f t="shared" si="0"/>
        <v>-9.6921322690990963E-3</v>
      </c>
      <c r="G60" s="1">
        <f t="shared" si="1"/>
        <v>6.9100902760721794E-5</v>
      </c>
      <c r="P60" s="10">
        <v>45930</v>
      </c>
      <c r="Q60" s="11">
        <v>612.38</v>
      </c>
      <c r="R60" s="1">
        <f t="shared" si="2"/>
        <v>-3.5634671396261685E-3</v>
      </c>
    </row>
    <row r="61" spans="1:18" ht="19" x14ac:dyDescent="0.25">
      <c r="A61" s="5">
        <v>45930</v>
      </c>
      <c r="B61" s="1">
        <v>140.5</v>
      </c>
      <c r="C61" s="1">
        <f t="shared" si="3"/>
        <v>1.1082325849165169E-2</v>
      </c>
      <c r="D61" s="1">
        <f t="shared" si="4"/>
        <v>1.5529553312321269E-4</v>
      </c>
      <c r="E61" s="1">
        <v>48</v>
      </c>
      <c r="F61" s="1">
        <f t="shared" si="0"/>
        <v>1.1082325849165169E-2</v>
      </c>
      <c r="G61" s="1">
        <f t="shared" si="1"/>
        <v>1.5529553312321269E-4</v>
      </c>
      <c r="P61" s="10">
        <v>45929</v>
      </c>
      <c r="Q61" s="11">
        <v>610.13</v>
      </c>
      <c r="R61" s="1">
        <f t="shared" si="2"/>
        <v>-3.6741892289101539E-3</v>
      </c>
    </row>
    <row r="62" spans="1:18" ht="19" x14ac:dyDescent="0.25">
      <c r="A62" s="5">
        <v>45929</v>
      </c>
      <c r="B62" s="1">
        <v>140.76</v>
      </c>
      <c r="C62" s="1">
        <f t="shared" si="3"/>
        <v>1.8505338078291167E-3</v>
      </c>
      <c r="D62" s="1">
        <f t="shared" si="4"/>
        <v>1.0432711371317204E-5</v>
      </c>
      <c r="E62" s="1">
        <v>49</v>
      </c>
      <c r="F62" s="1">
        <f t="shared" si="0"/>
        <v>1.8505338078291167E-3</v>
      </c>
      <c r="G62" s="1">
        <f t="shared" si="1"/>
        <v>1.0432711371317204E-5</v>
      </c>
      <c r="P62" s="10">
        <v>45926</v>
      </c>
      <c r="Q62" s="11">
        <v>608.41999999999996</v>
      </c>
      <c r="R62" s="1">
        <f t="shared" si="2"/>
        <v>-2.8026813957681748E-3</v>
      </c>
    </row>
    <row r="63" spans="1:18" ht="19" x14ac:dyDescent="0.25">
      <c r="A63" s="5">
        <v>45926</v>
      </c>
      <c r="B63" s="1">
        <v>138.32</v>
      </c>
      <c r="C63" s="1">
        <f t="shared" si="3"/>
        <v>-1.7334470019891999E-2</v>
      </c>
      <c r="D63" s="1">
        <f t="shared" si="4"/>
        <v>2.5456307890349742E-4</v>
      </c>
      <c r="E63" s="1">
        <v>50</v>
      </c>
      <c r="F63" s="1">
        <f t="shared" si="0"/>
        <v>-1.7334470019891999E-2</v>
      </c>
      <c r="G63" s="1">
        <f t="shared" si="1"/>
        <v>2.5456307890349742E-4</v>
      </c>
      <c r="P63" s="10">
        <v>45925</v>
      </c>
      <c r="Q63" s="11">
        <v>604.86</v>
      </c>
      <c r="R63" s="1">
        <f t="shared" si="2"/>
        <v>-5.8512211958843324E-3</v>
      </c>
    </row>
    <row r="64" spans="1:18" ht="19" x14ac:dyDescent="0.25">
      <c r="A64" s="5">
        <v>45925</v>
      </c>
      <c r="B64" s="1">
        <v>140.15</v>
      </c>
      <c r="C64" s="1">
        <f t="shared" si="3"/>
        <v>1.32301908617699E-2</v>
      </c>
      <c r="D64" s="1">
        <f t="shared" si="4"/>
        <v>2.1344122604178992E-4</v>
      </c>
      <c r="E64" s="1">
        <v>51</v>
      </c>
      <c r="F64" s="1">
        <f t="shared" si="0"/>
        <v>1.32301908617699E-2</v>
      </c>
      <c r="G64" s="1">
        <f t="shared" si="1"/>
        <v>2.1344122604178992E-4</v>
      </c>
      <c r="P64" s="10">
        <v>45924</v>
      </c>
      <c r="Q64" s="11">
        <v>607.76</v>
      </c>
      <c r="R64" s="1">
        <f t="shared" si="2"/>
        <v>4.7944979003405374E-3</v>
      </c>
    </row>
    <row r="65" spans="1:18" ht="19" x14ac:dyDescent="0.25">
      <c r="A65" s="5">
        <v>45924</v>
      </c>
      <c r="B65" s="1">
        <v>140.78</v>
      </c>
      <c r="C65" s="1">
        <f t="shared" si="3"/>
        <v>4.4951837317159862E-3</v>
      </c>
      <c r="D65" s="1">
        <f t="shared" si="4"/>
        <v>3.45111686540036E-5</v>
      </c>
      <c r="E65" s="1">
        <v>52</v>
      </c>
      <c r="F65" s="1">
        <f t="shared" si="0"/>
        <v>4.4951837317159862E-3</v>
      </c>
      <c r="G65" s="1">
        <f t="shared" si="1"/>
        <v>3.45111686540036E-5</v>
      </c>
      <c r="P65" s="10">
        <v>45923</v>
      </c>
      <c r="Q65" s="11">
        <v>609.79999999999995</v>
      </c>
      <c r="R65" s="1">
        <f t="shared" si="2"/>
        <v>3.3565881268921346E-3</v>
      </c>
    </row>
    <row r="66" spans="1:18" ht="19" x14ac:dyDescent="0.25">
      <c r="A66" s="5">
        <v>45923</v>
      </c>
      <c r="B66" s="1">
        <v>139.06</v>
      </c>
      <c r="C66" s="1">
        <f t="shared" si="3"/>
        <v>-1.2217644551782916E-2</v>
      </c>
      <c r="D66" s="1">
        <f t="shared" si="4"/>
        <v>1.1746674309696156E-4</v>
      </c>
      <c r="E66" s="1">
        <v>53</v>
      </c>
      <c r="F66" s="1">
        <f t="shared" si="0"/>
        <v>-1.2217644551782916E-2</v>
      </c>
      <c r="G66" s="1">
        <f t="shared" si="1"/>
        <v>1.1746674309696156E-4</v>
      </c>
      <c r="P66" s="10">
        <v>45922</v>
      </c>
      <c r="Q66" s="11">
        <v>613.01</v>
      </c>
      <c r="R66" s="1">
        <f t="shared" si="2"/>
        <v>5.2640209904887452E-3</v>
      </c>
    </row>
    <row r="67" spans="1:18" ht="19" x14ac:dyDescent="0.25">
      <c r="A67" s="5">
        <v>45922</v>
      </c>
      <c r="B67" s="1">
        <v>138.65</v>
      </c>
      <c r="C67" s="1">
        <f t="shared" si="3"/>
        <v>-2.9483676111030964E-3</v>
      </c>
      <c r="D67" s="1">
        <f t="shared" si="4"/>
        <v>2.4615432858258769E-6</v>
      </c>
      <c r="E67" s="1">
        <v>54</v>
      </c>
      <c r="F67" s="1">
        <f t="shared" si="0"/>
        <v>-2.9483676111030964E-3</v>
      </c>
      <c r="G67" s="1">
        <f t="shared" si="1"/>
        <v>2.4615432858258769E-6</v>
      </c>
      <c r="P67" s="10">
        <v>45919</v>
      </c>
      <c r="Q67" s="11">
        <v>610.04</v>
      </c>
      <c r="R67" s="1">
        <f t="shared" si="2"/>
        <v>-4.8449454331903679E-3</v>
      </c>
    </row>
    <row r="68" spans="1:18" ht="19" x14ac:dyDescent="0.25">
      <c r="A68" s="5">
        <v>45919</v>
      </c>
      <c r="B68" s="1">
        <v>140.56</v>
      </c>
      <c r="C68" s="1">
        <f t="shared" si="3"/>
        <v>1.3775694194013678E-2</v>
      </c>
      <c r="D68" s="1">
        <f t="shared" si="4"/>
        <v>2.2967800128202766E-4</v>
      </c>
      <c r="E68" s="1">
        <v>55</v>
      </c>
      <c r="F68" s="1">
        <f t="shared" si="0"/>
        <v>1.3775694194013678E-2</v>
      </c>
      <c r="G68" s="1">
        <f t="shared" si="1"/>
        <v>2.2967800128202766E-4</v>
      </c>
      <c r="P68" s="10">
        <v>45918</v>
      </c>
      <c r="Q68" s="11">
        <v>607.20000000000005</v>
      </c>
      <c r="R68" s="1">
        <f t="shared" si="2"/>
        <v>-4.6554324306601509E-3</v>
      </c>
    </row>
    <row r="69" spans="1:18" ht="19" x14ac:dyDescent="0.25">
      <c r="A69" s="5">
        <v>45918</v>
      </c>
      <c r="B69" s="1">
        <v>142.11000000000001</v>
      </c>
      <c r="C69" s="1">
        <f t="shared" si="3"/>
        <v>1.1027319294251646E-2</v>
      </c>
      <c r="D69" s="1">
        <f t="shared" si="4"/>
        <v>1.5392760156015167E-4</v>
      </c>
      <c r="E69" s="1">
        <v>56</v>
      </c>
      <c r="F69" s="1">
        <f t="shared" si="0"/>
        <v>1.1027319294251646E-2</v>
      </c>
      <c r="G69" s="1">
        <f t="shared" si="1"/>
        <v>1.5392760156015167E-4</v>
      </c>
      <c r="P69" s="10">
        <v>45917</v>
      </c>
      <c r="Q69" s="11">
        <v>604.36</v>
      </c>
      <c r="R69" s="1">
        <f t="shared" si="2"/>
        <v>-4.6772068511199468E-3</v>
      </c>
    </row>
    <row r="70" spans="1:18" ht="19" x14ac:dyDescent="0.25">
      <c r="A70" s="5">
        <v>45917</v>
      </c>
      <c r="B70" s="1">
        <v>141.51</v>
      </c>
      <c r="C70" s="1">
        <f t="shared" si="3"/>
        <v>-4.2220814861728424E-3</v>
      </c>
      <c r="D70" s="1">
        <f t="shared" si="4"/>
        <v>8.0806277171106316E-6</v>
      </c>
      <c r="E70" s="1">
        <v>57</v>
      </c>
      <c r="F70" s="1">
        <f t="shared" si="0"/>
        <v>-4.2220814861728424E-3</v>
      </c>
      <c r="G70" s="1">
        <f t="shared" si="1"/>
        <v>8.0806277171106316E-6</v>
      </c>
      <c r="P70" s="10">
        <v>45916</v>
      </c>
      <c r="Q70" s="11">
        <v>605.05999999999995</v>
      </c>
      <c r="R70" s="1">
        <f t="shared" si="2"/>
        <v>1.1582500496391749E-3</v>
      </c>
    </row>
    <row r="71" spans="1:18" ht="19" x14ac:dyDescent="0.25">
      <c r="A71" s="5">
        <v>45916</v>
      </c>
      <c r="B71" s="1">
        <v>146.72999999999999</v>
      </c>
      <c r="C71" s="1">
        <f t="shared" si="3"/>
        <v>3.6887852448590198E-2</v>
      </c>
      <c r="D71" s="1">
        <f t="shared" si="4"/>
        <v>1.4643854411721838E-3</v>
      </c>
      <c r="E71" s="1">
        <v>58</v>
      </c>
      <c r="F71" s="1">
        <f t="shared" si="0"/>
        <v>3.6887852448590198E-2</v>
      </c>
      <c r="G71" s="1">
        <f t="shared" si="1"/>
        <v>1.4643854411721838E-3</v>
      </c>
      <c r="P71" s="10">
        <v>45915</v>
      </c>
      <c r="Q71" s="11">
        <v>605.86</v>
      </c>
      <c r="R71" s="1">
        <f t="shared" si="2"/>
        <v>1.3221829240076493E-3</v>
      </c>
    </row>
    <row r="72" spans="1:18" ht="19" x14ac:dyDescent="0.25">
      <c r="A72" s="5">
        <v>45915</v>
      </c>
      <c r="B72" s="1">
        <v>144.96</v>
      </c>
      <c r="C72" s="1">
        <f t="shared" si="3"/>
        <v>-1.2062972807196769E-2</v>
      </c>
      <c r="D72" s="1">
        <f t="shared" si="4"/>
        <v>1.1413793750278899E-4</v>
      </c>
      <c r="E72" s="1">
        <v>59</v>
      </c>
      <c r="F72" s="1">
        <f t="shared" si="0"/>
        <v>-1.2062972807196769E-2</v>
      </c>
      <c r="G72" s="1">
        <f t="shared" si="1"/>
        <v>1.1413793750278899E-4</v>
      </c>
      <c r="P72" s="10">
        <v>45912</v>
      </c>
      <c r="Q72" s="11">
        <v>602.72</v>
      </c>
      <c r="R72" s="1">
        <f t="shared" si="2"/>
        <v>-5.1827154788234679E-3</v>
      </c>
    </row>
    <row r="73" spans="1:18" ht="19" x14ac:dyDescent="0.25">
      <c r="A73" s="5">
        <v>45912</v>
      </c>
      <c r="B73" s="1">
        <v>144.6</v>
      </c>
      <c r="C73" s="1">
        <f t="shared" si="3"/>
        <v>-2.4834437086093653E-3</v>
      </c>
      <c r="D73" s="1">
        <f t="shared" si="4"/>
        <v>1.218830829098889E-6</v>
      </c>
      <c r="E73" s="1">
        <v>60</v>
      </c>
      <c r="F73" s="1">
        <f t="shared" si="0"/>
        <v>-2.4834437086093653E-3</v>
      </c>
      <c r="G73" s="1">
        <f t="shared" si="1"/>
        <v>1.218830829098889E-6</v>
      </c>
      <c r="P73" s="10">
        <v>45911</v>
      </c>
      <c r="Q73" s="11">
        <v>602.85</v>
      </c>
      <c r="R73" s="1">
        <f t="shared" si="2"/>
        <v>2.1568887709051541E-4</v>
      </c>
    </row>
    <row r="74" spans="1:18" ht="19" x14ac:dyDescent="0.25">
      <c r="A74" s="5">
        <v>45911</v>
      </c>
      <c r="B74" s="1">
        <v>149.1</v>
      </c>
      <c r="C74" s="1">
        <f t="shared" si="3"/>
        <v>3.1120331950207469E-2</v>
      </c>
      <c r="D74" s="1">
        <f t="shared" si="4"/>
        <v>1.056234981332779E-3</v>
      </c>
      <c r="E74" s="1">
        <v>61</v>
      </c>
      <c r="F74" s="1">
        <f t="shared" si="0"/>
        <v>3.1120331950207469E-2</v>
      </c>
      <c r="G74" s="1">
        <f t="shared" si="1"/>
        <v>1.056234981332779E-3</v>
      </c>
      <c r="P74" s="10">
        <v>45910</v>
      </c>
      <c r="Q74" s="11">
        <v>597.97</v>
      </c>
      <c r="R74" s="1">
        <f t="shared" si="2"/>
        <v>-8.0948826407895753E-3</v>
      </c>
    </row>
    <row r="75" spans="1:18" ht="19" x14ac:dyDescent="0.25">
      <c r="A75" s="5">
        <v>45910</v>
      </c>
      <c r="B75" s="1">
        <v>146.02000000000001</v>
      </c>
      <c r="C75" s="1">
        <f t="shared" si="3"/>
        <v>-2.0657276995305059E-2</v>
      </c>
      <c r="D75" s="1">
        <f t="shared" si="4"/>
        <v>3.716351151717307E-4</v>
      </c>
      <c r="E75" s="1">
        <v>62</v>
      </c>
      <c r="F75" s="1">
        <f t="shared" si="0"/>
        <v>-2.0657276995305059E-2</v>
      </c>
      <c r="G75" s="1">
        <f t="shared" si="1"/>
        <v>3.716351151717307E-4</v>
      </c>
      <c r="P75" s="10">
        <v>45909</v>
      </c>
      <c r="Q75" s="11">
        <v>596.24</v>
      </c>
      <c r="R75" s="1">
        <f t="shared" si="2"/>
        <v>-2.8931217285148385E-3</v>
      </c>
    </row>
    <row r="76" spans="1:18" ht="19" x14ac:dyDescent="0.25">
      <c r="A76" s="5">
        <v>45909</v>
      </c>
      <c r="B76" s="1">
        <v>147.93</v>
      </c>
      <c r="C76" s="1">
        <f t="shared" si="3"/>
        <v>1.3080399945212959E-2</v>
      </c>
      <c r="D76" s="1">
        <f t="shared" si="4"/>
        <v>2.0908688426676342E-4</v>
      </c>
      <c r="E76" s="1">
        <v>63</v>
      </c>
      <c r="F76" s="1">
        <f t="shared" si="0"/>
        <v>1.3080399945212959E-2</v>
      </c>
      <c r="G76" s="1">
        <f t="shared" si="1"/>
        <v>2.0908688426676342E-4</v>
      </c>
      <c r="P76" s="10">
        <v>45908</v>
      </c>
      <c r="Q76" s="11">
        <v>594.79999999999995</v>
      </c>
      <c r="R76" s="1">
        <f t="shared" si="2"/>
        <v>-2.415134845028939E-3</v>
      </c>
    </row>
    <row r="77" spans="1:18" ht="19" x14ac:dyDescent="0.25">
      <c r="A77" s="5">
        <v>45908</v>
      </c>
      <c r="B77" s="1">
        <v>150.81</v>
      </c>
      <c r="C77" s="1">
        <f t="shared" si="3"/>
        <v>1.9468667613060198E-2</v>
      </c>
      <c r="D77" s="1">
        <f t="shared" si="4"/>
        <v>4.3464346564656522E-4</v>
      </c>
      <c r="E77" s="1">
        <v>64</v>
      </c>
      <c r="F77" s="1">
        <f t="shared" si="0"/>
        <v>1.9468667613060198E-2</v>
      </c>
      <c r="G77" s="1">
        <f t="shared" si="1"/>
        <v>4.3464346564656522E-4</v>
      </c>
      <c r="P77" s="10">
        <v>45905</v>
      </c>
      <c r="Q77" s="11">
        <v>593.26</v>
      </c>
      <c r="R77" s="1">
        <f t="shared" si="2"/>
        <v>-2.5891055817080762E-3</v>
      </c>
    </row>
    <row r="78" spans="1:18" ht="19" x14ac:dyDescent="0.25">
      <c r="A78" s="5">
        <v>45905</v>
      </c>
      <c r="B78" s="1">
        <v>150.41</v>
      </c>
      <c r="C78" s="1">
        <f t="shared" si="3"/>
        <v>-2.6523440090180073E-3</v>
      </c>
      <c r="D78" s="1">
        <f t="shared" si="4"/>
        <v>1.6202922725673788E-6</v>
      </c>
      <c r="E78" s="1">
        <v>65</v>
      </c>
      <c r="F78" s="1">
        <f t="shared" si="0"/>
        <v>-2.6523440090180073E-3</v>
      </c>
      <c r="G78" s="1">
        <f t="shared" si="1"/>
        <v>1.6202922725673788E-6</v>
      </c>
      <c r="P78" s="10">
        <v>45904</v>
      </c>
      <c r="Q78" s="11">
        <v>594.89</v>
      </c>
      <c r="R78" s="1">
        <f t="shared" si="2"/>
        <v>2.7475305936688729E-3</v>
      </c>
    </row>
    <row r="79" spans="1:18" ht="19" x14ac:dyDescent="0.25">
      <c r="A79" s="5">
        <v>45904</v>
      </c>
      <c r="B79" s="1">
        <v>148.52000000000001</v>
      </c>
      <c r="C79" s="1">
        <f t="shared" si="3"/>
        <v>-1.2565653879396226E-2</v>
      </c>
      <c r="D79" s="1">
        <f t="shared" si="4"/>
        <v>1.2513144823951002E-4</v>
      </c>
      <c r="E79" s="1">
        <v>66</v>
      </c>
      <c r="F79" s="1">
        <f t="shared" ref="F79:F142" si="5">IF(E79&lt;$B$5,C79,"")</f>
        <v>-1.2565653879396226E-2</v>
      </c>
      <c r="G79" s="1">
        <f t="shared" ref="G79:G142" si="6">IF(E79&lt;=$B$5,D79,"")</f>
        <v>1.2513144823951002E-4</v>
      </c>
      <c r="P79" s="10">
        <v>45903</v>
      </c>
      <c r="Q79" s="11">
        <v>590.03</v>
      </c>
      <c r="R79" s="1">
        <f t="shared" ref="R79:R142" si="7">(Q79-Q78)/Q78</f>
        <v>-8.169577568962352E-3</v>
      </c>
    </row>
    <row r="80" spans="1:18" ht="19" x14ac:dyDescent="0.25">
      <c r="A80" s="5">
        <v>45903</v>
      </c>
      <c r="B80" s="1">
        <v>147.82</v>
      </c>
      <c r="C80" s="1">
        <f t="shared" ref="C80:C143" si="8">(B80-B79)/B79</f>
        <v>-4.713169943442075E-3</v>
      </c>
      <c r="D80" s="1">
        <f t="shared" ref="D80:D143" si="9">(C80-$B$7)^2</f>
        <v>1.1113775387847591E-5</v>
      </c>
      <c r="E80" s="1">
        <v>67</v>
      </c>
      <c r="F80" s="1">
        <f t="shared" si="5"/>
        <v>-4.713169943442075E-3</v>
      </c>
      <c r="G80" s="1">
        <f t="shared" si="6"/>
        <v>1.1113775387847591E-5</v>
      </c>
      <c r="P80" s="10">
        <v>45902</v>
      </c>
      <c r="Q80" s="11">
        <v>587.03</v>
      </c>
      <c r="R80" s="1">
        <f t="shared" si="7"/>
        <v>-5.0844872294629091E-3</v>
      </c>
    </row>
    <row r="81" spans="1:18" ht="19" x14ac:dyDescent="0.25">
      <c r="A81" s="5">
        <v>45902</v>
      </c>
      <c r="B81" s="1">
        <v>149.32</v>
      </c>
      <c r="C81" s="1">
        <f t="shared" si="8"/>
        <v>1.014747666080368E-2</v>
      </c>
      <c r="D81" s="1">
        <f t="shared" si="9"/>
        <v>1.3286973837192676E-4</v>
      </c>
      <c r="E81" s="1">
        <v>68</v>
      </c>
      <c r="F81" s="1">
        <f t="shared" si="5"/>
        <v>1.014747666080368E-2</v>
      </c>
      <c r="G81" s="1">
        <f t="shared" si="6"/>
        <v>1.3286973837192676E-4</v>
      </c>
      <c r="P81" s="10">
        <v>45898</v>
      </c>
      <c r="Q81" s="11">
        <v>591.39</v>
      </c>
      <c r="R81" s="1">
        <f t="shared" si="7"/>
        <v>7.4272183704410574E-3</v>
      </c>
    </row>
    <row r="82" spans="1:18" ht="19" x14ac:dyDescent="0.25">
      <c r="A82" s="5">
        <v>45898</v>
      </c>
      <c r="B82" s="1">
        <v>150.38999999999999</v>
      </c>
      <c r="C82" s="1">
        <f t="shared" si="8"/>
        <v>7.1658183766407264E-3</v>
      </c>
      <c r="D82" s="1">
        <f t="shared" si="9"/>
        <v>7.3021389324723912E-5</v>
      </c>
      <c r="E82" s="1">
        <v>69</v>
      </c>
      <c r="F82" s="1">
        <f t="shared" si="5"/>
        <v>7.1658183766407264E-3</v>
      </c>
      <c r="G82" s="1">
        <f t="shared" si="6"/>
        <v>7.3021389324723912E-5</v>
      </c>
      <c r="P82" s="10">
        <v>45897</v>
      </c>
      <c r="Q82" s="11">
        <v>594.82000000000005</v>
      </c>
      <c r="R82" s="1">
        <f t="shared" si="7"/>
        <v>5.7998951622449885E-3</v>
      </c>
    </row>
    <row r="83" spans="1:18" ht="19" x14ac:dyDescent="0.25">
      <c r="A83" s="5">
        <v>45897</v>
      </c>
      <c r="B83" s="1">
        <v>149.12</v>
      </c>
      <c r="C83" s="1">
        <f t="shared" si="8"/>
        <v>-8.4447104195756496E-3</v>
      </c>
      <c r="D83" s="1">
        <f t="shared" si="9"/>
        <v>4.991808859860088E-5</v>
      </c>
      <c r="E83" s="1">
        <v>70</v>
      </c>
      <c r="F83" s="1">
        <f t="shared" si="5"/>
        <v>-8.4447104195756496E-3</v>
      </c>
      <c r="G83" s="1">
        <f t="shared" si="6"/>
        <v>4.991808859860088E-5</v>
      </c>
      <c r="P83" s="10">
        <v>45896</v>
      </c>
      <c r="Q83" s="11">
        <v>592.72</v>
      </c>
      <c r="R83" s="1">
        <f t="shared" si="7"/>
        <v>-3.5304798090178922E-3</v>
      </c>
    </row>
    <row r="84" spans="1:18" ht="19" x14ac:dyDescent="0.25">
      <c r="A84" s="5">
        <v>45896</v>
      </c>
      <c r="B84" s="1">
        <v>153.22999999999999</v>
      </c>
      <c r="C84" s="1">
        <f t="shared" si="8"/>
        <v>2.7561695278969858E-2</v>
      </c>
      <c r="D84" s="1">
        <f t="shared" si="9"/>
        <v>8.3758913715774709E-4</v>
      </c>
      <c r="E84" s="1">
        <v>71</v>
      </c>
      <c r="F84" s="1">
        <f t="shared" si="5"/>
        <v>2.7561695278969858E-2</v>
      </c>
      <c r="G84" s="1">
        <f t="shared" si="6"/>
        <v>8.3758913715774709E-4</v>
      </c>
      <c r="P84" s="10">
        <v>45895</v>
      </c>
      <c r="Q84" s="11">
        <v>591.37</v>
      </c>
      <c r="R84" s="1">
        <f t="shared" si="7"/>
        <v>-2.2776353084087305E-3</v>
      </c>
    </row>
    <row r="85" spans="1:18" ht="19" x14ac:dyDescent="0.25">
      <c r="A85" s="5">
        <v>45895</v>
      </c>
      <c r="B85" s="1">
        <v>153.88999999999999</v>
      </c>
      <c r="C85" s="1">
        <f t="shared" si="8"/>
        <v>4.3072505384062956E-3</v>
      </c>
      <c r="D85" s="1">
        <f t="shared" si="9"/>
        <v>3.2338415074761082E-5</v>
      </c>
      <c r="E85" s="1">
        <v>72</v>
      </c>
      <c r="F85" s="1">
        <f t="shared" si="5"/>
        <v>4.3072505384062956E-3</v>
      </c>
      <c r="G85" s="1">
        <f t="shared" si="6"/>
        <v>3.2338415074761082E-5</v>
      </c>
      <c r="P85" s="10">
        <v>45894</v>
      </c>
      <c r="Q85" s="11">
        <v>589.02</v>
      </c>
      <c r="R85" s="1">
        <f t="shared" si="7"/>
        <v>-3.9738234945973297E-3</v>
      </c>
    </row>
    <row r="86" spans="1:18" ht="19" x14ac:dyDescent="0.25">
      <c r="A86" s="5">
        <v>45894</v>
      </c>
      <c r="B86" s="1">
        <v>154.87</v>
      </c>
      <c r="C86" s="1">
        <f t="shared" si="8"/>
        <v>6.368185067255951E-3</v>
      </c>
      <c r="D86" s="1">
        <f t="shared" si="9"/>
        <v>6.0025647581628968E-5</v>
      </c>
      <c r="E86" s="1">
        <v>73</v>
      </c>
      <c r="F86" s="1">
        <f t="shared" si="5"/>
        <v>6.368185067255951E-3</v>
      </c>
      <c r="G86" s="1">
        <f t="shared" si="6"/>
        <v>6.0025647581628968E-5</v>
      </c>
      <c r="P86" s="10">
        <v>45891</v>
      </c>
      <c r="Q86" s="11">
        <v>591.52</v>
      </c>
      <c r="R86" s="1">
        <f t="shared" si="7"/>
        <v>4.2443380530372485E-3</v>
      </c>
    </row>
    <row r="87" spans="1:18" ht="19" x14ac:dyDescent="0.25">
      <c r="A87" s="5">
        <v>45891</v>
      </c>
      <c r="B87" s="1">
        <v>158.52000000000001</v>
      </c>
      <c r="C87" s="1">
        <f t="shared" si="8"/>
        <v>2.3568153935558892E-2</v>
      </c>
      <c r="D87" s="1">
        <f t="shared" si="9"/>
        <v>6.2238229311638077E-4</v>
      </c>
      <c r="E87" s="1">
        <v>74</v>
      </c>
      <c r="F87" s="1">
        <f t="shared" si="5"/>
        <v>2.3568153935558892E-2</v>
      </c>
      <c r="G87" s="1">
        <f t="shared" si="6"/>
        <v>6.2238229311638077E-4</v>
      </c>
      <c r="P87" s="10">
        <v>45890</v>
      </c>
      <c r="Q87" s="11">
        <v>582.6</v>
      </c>
      <c r="R87" s="1">
        <f t="shared" si="7"/>
        <v>-1.5079794427914456E-2</v>
      </c>
    </row>
    <row r="88" spans="1:18" ht="19" x14ac:dyDescent="0.25">
      <c r="A88" s="5">
        <v>45890</v>
      </c>
      <c r="B88" s="1">
        <v>149.16999999999999</v>
      </c>
      <c r="C88" s="1">
        <f t="shared" si="8"/>
        <v>-5.8983093615947654E-2</v>
      </c>
      <c r="D88" s="1">
        <f t="shared" si="9"/>
        <v>3.3181812563860282E-3</v>
      </c>
      <c r="E88" s="1">
        <v>75</v>
      </c>
      <c r="F88" s="1">
        <f t="shared" si="5"/>
        <v>-5.8983093615947654E-2</v>
      </c>
      <c r="G88" s="1">
        <f t="shared" si="6"/>
        <v>3.3181812563860282E-3</v>
      </c>
      <c r="P88" s="10">
        <v>45889</v>
      </c>
      <c r="Q88" s="11">
        <v>584.91</v>
      </c>
      <c r="R88" s="1">
        <f t="shared" si="7"/>
        <v>3.9649845520081453E-3</v>
      </c>
    </row>
    <row r="89" spans="1:18" ht="19" x14ac:dyDescent="0.25">
      <c r="A89" s="5">
        <v>45889</v>
      </c>
      <c r="B89" s="1">
        <v>149.66</v>
      </c>
      <c r="C89" s="1">
        <f t="shared" si="8"/>
        <v>3.284842796809071E-3</v>
      </c>
      <c r="D89" s="1">
        <f t="shared" si="9"/>
        <v>2.1755505953445868E-5</v>
      </c>
      <c r="E89" s="1">
        <v>76</v>
      </c>
      <c r="F89" s="1">
        <f t="shared" si="5"/>
        <v>3.284842796809071E-3</v>
      </c>
      <c r="G89" s="1">
        <f t="shared" si="6"/>
        <v>2.1755505953445868E-5</v>
      </c>
      <c r="P89" s="10">
        <v>45888</v>
      </c>
      <c r="Q89" s="11">
        <v>586.45000000000005</v>
      </c>
      <c r="R89" s="1">
        <f t="shared" si="7"/>
        <v>2.6328836915082278E-3</v>
      </c>
    </row>
    <row r="90" spans="1:18" ht="19" x14ac:dyDescent="0.25">
      <c r="A90" s="5">
        <v>45888</v>
      </c>
      <c r="B90" s="1">
        <v>154.21</v>
      </c>
      <c r="C90" s="1">
        <f t="shared" si="8"/>
        <v>3.0402245088868178E-2</v>
      </c>
      <c r="D90" s="1">
        <f t="shared" si="9"/>
        <v>1.0100753159244897E-3</v>
      </c>
      <c r="E90" s="1">
        <v>77</v>
      </c>
      <c r="F90" s="1">
        <f t="shared" si="5"/>
        <v>3.0402245088868178E-2</v>
      </c>
      <c r="G90" s="1">
        <f t="shared" si="6"/>
        <v>1.0100753159244897E-3</v>
      </c>
      <c r="P90" s="10">
        <v>45887</v>
      </c>
      <c r="Q90" s="11">
        <v>589.66999999999996</v>
      </c>
      <c r="R90" s="1">
        <f t="shared" si="7"/>
        <v>5.4906641657428822E-3</v>
      </c>
    </row>
    <row r="91" spans="1:18" ht="19" x14ac:dyDescent="0.25">
      <c r="A91" s="5">
        <v>45887</v>
      </c>
      <c r="B91" s="1">
        <v>149.88</v>
      </c>
      <c r="C91" s="1">
        <f t="shared" si="8"/>
        <v>-2.8078594124894704E-2</v>
      </c>
      <c r="D91" s="1">
        <f t="shared" si="9"/>
        <v>7.1284499157750502E-4</v>
      </c>
      <c r="E91" s="1">
        <v>78</v>
      </c>
      <c r="F91" s="1">
        <f t="shared" si="5"/>
        <v>-2.8078594124894704E-2</v>
      </c>
      <c r="G91" s="1">
        <f t="shared" si="6"/>
        <v>7.1284499157750502E-4</v>
      </c>
      <c r="P91" s="10">
        <v>45884</v>
      </c>
      <c r="Q91" s="11">
        <v>589.88</v>
      </c>
      <c r="R91" s="1">
        <f t="shared" si="7"/>
        <v>3.5613139552637303E-4</v>
      </c>
    </row>
    <row r="92" spans="1:18" ht="19" x14ac:dyDescent="0.25">
      <c r="A92" s="5">
        <v>45884</v>
      </c>
      <c r="B92" s="1">
        <v>150.56</v>
      </c>
      <c r="C92" s="1">
        <f t="shared" si="8"/>
        <v>4.5369629036563037E-3</v>
      </c>
      <c r="D92" s="1">
        <f t="shared" si="9"/>
        <v>3.5003787731858343E-5</v>
      </c>
      <c r="E92" s="1">
        <v>79</v>
      </c>
      <c r="F92" s="1">
        <f t="shared" si="5"/>
        <v>4.5369629036563037E-3</v>
      </c>
      <c r="G92" s="1">
        <f t="shared" si="6"/>
        <v>3.5003787731858343E-5</v>
      </c>
      <c r="P92" s="10">
        <v>45883</v>
      </c>
      <c r="Q92" s="11">
        <v>591.16</v>
      </c>
      <c r="R92" s="1">
        <f t="shared" si="7"/>
        <v>2.1699328677018594E-3</v>
      </c>
    </row>
    <row r="93" spans="1:18" ht="19" x14ac:dyDescent="0.25">
      <c r="A93" s="5">
        <v>45883</v>
      </c>
      <c r="B93" s="1">
        <v>150.53</v>
      </c>
      <c r="C93" s="1">
        <f t="shared" si="8"/>
        <v>-1.9925611052073019E-4</v>
      </c>
      <c r="D93" s="1">
        <f t="shared" si="9"/>
        <v>1.3928269143130454E-6</v>
      </c>
      <c r="E93" s="1">
        <v>80</v>
      </c>
      <c r="F93" s="1">
        <f t="shared" si="5"/>
        <v>-1.9925611052073019E-4</v>
      </c>
      <c r="G93" s="1">
        <f t="shared" si="6"/>
        <v>1.3928269143130454E-6</v>
      </c>
      <c r="P93" s="10">
        <v>45882</v>
      </c>
      <c r="Q93" s="11">
        <v>591.15</v>
      </c>
      <c r="R93" s="1">
        <f t="shared" si="7"/>
        <v>-1.6915894174150664E-5</v>
      </c>
    </row>
    <row r="94" spans="1:18" ht="19" x14ac:dyDescent="0.25">
      <c r="A94" s="5">
        <v>45882</v>
      </c>
      <c r="B94" s="1">
        <v>152.87</v>
      </c>
      <c r="C94" s="1">
        <f t="shared" si="8"/>
        <v>1.5545074071613655E-2</v>
      </c>
      <c r="D94" s="1">
        <f t="shared" si="9"/>
        <v>2.864390747610792E-4</v>
      </c>
      <c r="E94" s="1">
        <v>81</v>
      </c>
      <c r="F94" s="1">
        <f t="shared" si="5"/>
        <v>1.5545074071613655E-2</v>
      </c>
      <c r="G94" s="1">
        <f t="shared" si="6"/>
        <v>2.864390747610792E-4</v>
      </c>
      <c r="P94" s="10">
        <v>45881</v>
      </c>
      <c r="Q94" s="11">
        <v>589.1</v>
      </c>
      <c r="R94" s="1">
        <f t="shared" si="7"/>
        <v>-3.4678169669287908E-3</v>
      </c>
    </row>
    <row r="95" spans="1:18" ht="19" x14ac:dyDescent="0.25">
      <c r="A95" s="5">
        <v>45881</v>
      </c>
      <c r="B95" s="1">
        <v>148.66</v>
      </c>
      <c r="C95" s="1">
        <f t="shared" si="8"/>
        <v>-2.7539739648067035E-2</v>
      </c>
      <c r="D95" s="1">
        <f t="shared" si="9"/>
        <v>6.8436143502812613E-4</v>
      </c>
      <c r="E95" s="1">
        <v>82</v>
      </c>
      <c r="F95" s="1">
        <f t="shared" si="5"/>
        <v>-2.7539739648067035E-2</v>
      </c>
      <c r="G95" s="1">
        <f t="shared" si="6"/>
        <v>6.8436143502812613E-4</v>
      </c>
      <c r="P95" s="10">
        <v>45880</v>
      </c>
      <c r="Q95" s="11">
        <v>582.87</v>
      </c>
      <c r="R95" s="1">
        <f t="shared" si="7"/>
        <v>-1.0575454082498758E-2</v>
      </c>
    </row>
    <row r="96" spans="1:18" ht="19" x14ac:dyDescent="0.25">
      <c r="A96" s="5">
        <v>45880</v>
      </c>
      <c r="B96" s="1">
        <v>142.47</v>
      </c>
      <c r="C96" s="1">
        <f t="shared" si="8"/>
        <v>-4.1638638503968775E-2</v>
      </c>
      <c r="D96" s="1">
        <f t="shared" si="9"/>
        <v>1.6208033063368306E-3</v>
      </c>
      <c r="E96" s="1">
        <v>83</v>
      </c>
      <c r="F96" s="1">
        <f t="shared" si="5"/>
        <v>-4.1638638503968775E-2</v>
      </c>
      <c r="G96" s="1">
        <f t="shared" si="6"/>
        <v>1.6208033063368306E-3</v>
      </c>
      <c r="P96" s="10">
        <v>45877</v>
      </c>
      <c r="Q96" s="11">
        <v>584.07000000000005</v>
      </c>
      <c r="R96" s="1">
        <f t="shared" si="7"/>
        <v>2.0587781151887134E-3</v>
      </c>
    </row>
    <row r="97" spans="1:18" ht="19" x14ac:dyDescent="0.25">
      <c r="A97" s="5">
        <v>45877</v>
      </c>
      <c r="B97" s="1">
        <v>143.9</v>
      </c>
      <c r="C97" s="1">
        <f t="shared" si="8"/>
        <v>1.0037200814206547E-2</v>
      </c>
      <c r="D97" s="1">
        <f t="shared" si="9"/>
        <v>1.3033961881071769E-4</v>
      </c>
      <c r="E97" s="1">
        <v>84</v>
      </c>
      <c r="F97" s="1">
        <f t="shared" si="5"/>
        <v>1.0037200814206547E-2</v>
      </c>
      <c r="G97" s="1">
        <f t="shared" si="6"/>
        <v>1.3033961881071769E-4</v>
      </c>
      <c r="P97" s="10">
        <v>45876</v>
      </c>
      <c r="Q97" s="11">
        <v>579.63</v>
      </c>
      <c r="R97" s="1">
        <f t="shared" si="7"/>
        <v>-7.6018285479481128E-3</v>
      </c>
    </row>
    <row r="98" spans="1:18" ht="19" x14ac:dyDescent="0.25">
      <c r="A98" s="5">
        <v>45876</v>
      </c>
      <c r="B98" s="1">
        <v>144.77000000000001</v>
      </c>
      <c r="C98" s="1">
        <f t="shared" si="8"/>
        <v>6.0458651841556951E-3</v>
      </c>
      <c r="D98" s="1">
        <f t="shared" si="9"/>
        <v>5.5135112415425953E-5</v>
      </c>
      <c r="E98" s="1">
        <v>85</v>
      </c>
      <c r="F98" s="1">
        <f t="shared" si="5"/>
        <v>6.0458651841556951E-3</v>
      </c>
      <c r="G98" s="1">
        <f t="shared" si="6"/>
        <v>5.5135112415425953E-5</v>
      </c>
      <c r="P98" s="10">
        <v>45875</v>
      </c>
      <c r="Q98" s="11">
        <v>579.98</v>
      </c>
      <c r="R98" s="1">
        <f t="shared" si="7"/>
        <v>6.0383347997864626E-4</v>
      </c>
    </row>
    <row r="99" spans="1:18" ht="19" x14ac:dyDescent="0.25">
      <c r="A99" s="5">
        <v>45875</v>
      </c>
      <c r="B99" s="1">
        <v>149.35</v>
      </c>
      <c r="C99" s="1">
        <f t="shared" si="8"/>
        <v>3.1636388754576111E-2</v>
      </c>
      <c r="D99" s="1">
        <f t="shared" si="9"/>
        <v>1.0900447497647538E-3</v>
      </c>
      <c r="E99" s="1">
        <v>86</v>
      </c>
      <c r="F99" s="1">
        <f t="shared" si="5"/>
        <v>3.1636388754576111E-2</v>
      </c>
      <c r="G99" s="1">
        <f t="shared" si="6"/>
        <v>1.0900447497647538E-3</v>
      </c>
      <c r="P99" s="10">
        <v>45874</v>
      </c>
      <c r="Q99" s="11">
        <v>575.70000000000005</v>
      </c>
      <c r="R99" s="1">
        <f t="shared" si="7"/>
        <v>-7.379564812579697E-3</v>
      </c>
    </row>
    <row r="100" spans="1:18" ht="19" x14ac:dyDescent="0.25">
      <c r="A100" s="5">
        <v>45874</v>
      </c>
      <c r="B100" s="1">
        <v>146.58000000000001</v>
      </c>
      <c r="C100" s="1">
        <f t="shared" si="8"/>
        <v>-1.8547037161031014E-2</v>
      </c>
      <c r="D100" s="1">
        <f t="shared" si="9"/>
        <v>2.9472649554474693E-4</v>
      </c>
      <c r="E100" s="1">
        <v>87</v>
      </c>
      <c r="F100" s="1">
        <f t="shared" si="5"/>
        <v>-1.8547037161031014E-2</v>
      </c>
      <c r="G100" s="1">
        <f t="shared" si="6"/>
        <v>2.9472649554474693E-4</v>
      </c>
      <c r="P100" s="10">
        <v>45873</v>
      </c>
      <c r="Q100" s="11">
        <v>578.49</v>
      </c>
      <c r="R100" s="1">
        <f t="shared" si="7"/>
        <v>4.8462741010942565E-3</v>
      </c>
    </row>
    <row r="101" spans="1:18" ht="19" x14ac:dyDescent="0.25">
      <c r="A101" s="5">
        <v>45873</v>
      </c>
      <c r="B101" s="1">
        <v>143.81</v>
      </c>
      <c r="C101" s="1">
        <f t="shared" si="8"/>
        <v>-1.8897530358848478E-2</v>
      </c>
      <c r="D101" s="1">
        <f t="shared" si="9"/>
        <v>3.0688359519026668E-4</v>
      </c>
      <c r="E101" s="1">
        <v>88</v>
      </c>
      <c r="F101" s="1">
        <f t="shared" si="5"/>
        <v>-1.8897530358848478E-2</v>
      </c>
      <c r="G101" s="1">
        <f t="shared" si="6"/>
        <v>3.0688359519026668E-4</v>
      </c>
      <c r="P101" s="10">
        <v>45870</v>
      </c>
      <c r="Q101" s="11">
        <v>569.82000000000005</v>
      </c>
      <c r="R101" s="1">
        <f t="shared" si="7"/>
        <v>-1.4987294508115886E-2</v>
      </c>
    </row>
    <row r="102" spans="1:18" ht="19" x14ac:dyDescent="0.25">
      <c r="A102" s="5">
        <v>45870</v>
      </c>
      <c r="B102" s="1">
        <v>141.30000000000001</v>
      </c>
      <c r="C102" s="1">
        <f t="shared" si="8"/>
        <v>-1.7453584590779437E-2</v>
      </c>
      <c r="D102" s="1">
        <f t="shared" si="9"/>
        <v>2.5837822100958804E-4</v>
      </c>
      <c r="E102" s="1">
        <v>89</v>
      </c>
      <c r="F102" s="1">
        <f t="shared" si="5"/>
        <v>-1.7453584590779437E-2</v>
      </c>
      <c r="G102" s="1">
        <f t="shared" si="6"/>
        <v>2.5837822100958804E-4</v>
      </c>
      <c r="P102" s="10">
        <v>45869</v>
      </c>
      <c r="Q102" s="11">
        <v>579.36</v>
      </c>
      <c r="R102" s="1">
        <f t="shared" si="7"/>
        <v>1.674212909339785E-2</v>
      </c>
    </row>
    <row r="103" spans="1:18" ht="19" x14ac:dyDescent="0.25">
      <c r="A103" s="5">
        <v>45869</v>
      </c>
      <c r="B103" s="1">
        <v>148.68</v>
      </c>
      <c r="C103" s="1">
        <f t="shared" si="8"/>
        <v>5.2229299363057285E-2</v>
      </c>
      <c r="D103" s="1">
        <f t="shared" si="9"/>
        <v>2.8738966136452673E-3</v>
      </c>
      <c r="E103" s="1">
        <v>90</v>
      </c>
      <c r="F103" s="1">
        <f t="shared" si="5"/>
        <v>5.2229299363057285E-2</v>
      </c>
      <c r="G103" s="1">
        <f t="shared" si="6"/>
        <v>2.8738966136452673E-3</v>
      </c>
      <c r="P103" s="10">
        <v>45868</v>
      </c>
      <c r="Q103" s="11">
        <v>581.54999999999995</v>
      </c>
      <c r="R103" s="1">
        <f t="shared" si="7"/>
        <v>3.780033140016468E-3</v>
      </c>
    </row>
    <row r="104" spans="1:18" ht="19" x14ac:dyDescent="0.25">
      <c r="A104" s="5">
        <v>45868</v>
      </c>
      <c r="B104" s="1">
        <v>145.9</v>
      </c>
      <c r="C104" s="1">
        <f t="shared" si="8"/>
        <v>-1.8697874630078028E-2</v>
      </c>
      <c r="D104" s="1">
        <f t="shared" si="9"/>
        <v>2.9992828220486427E-4</v>
      </c>
      <c r="E104" s="1">
        <v>91</v>
      </c>
      <c r="F104" s="1">
        <f t="shared" si="5"/>
        <v>-1.8697874630078028E-2</v>
      </c>
      <c r="G104" s="1">
        <f t="shared" si="6"/>
        <v>2.9992828220486427E-4</v>
      </c>
      <c r="P104" s="10">
        <v>45867</v>
      </c>
      <c r="Q104" s="11">
        <v>582.25</v>
      </c>
      <c r="R104" s="1">
        <f t="shared" si="7"/>
        <v>1.2036798211676478E-3</v>
      </c>
    </row>
    <row r="105" spans="1:18" ht="19" x14ac:dyDescent="0.25">
      <c r="A105" s="5">
        <v>45867</v>
      </c>
      <c r="B105" s="1">
        <v>161.5</v>
      </c>
      <c r="C105" s="1">
        <f t="shared" si="8"/>
        <v>0.10692254969156953</v>
      </c>
      <c r="D105" s="1">
        <f t="shared" si="9"/>
        <v>1.1729320319727723E-2</v>
      </c>
      <c r="E105" s="1">
        <v>92</v>
      </c>
      <c r="F105" s="1">
        <f t="shared" si="5"/>
        <v>0.10692254969156953</v>
      </c>
      <c r="G105" s="1">
        <f t="shared" si="6"/>
        <v>1.1729320319727723E-2</v>
      </c>
      <c r="P105" s="10">
        <v>45866</v>
      </c>
      <c r="Q105" s="11">
        <v>583.77</v>
      </c>
      <c r="R105" s="1">
        <f t="shared" si="7"/>
        <v>2.6105624731644172E-3</v>
      </c>
    </row>
    <row r="106" spans="1:18" ht="19" x14ac:dyDescent="0.25">
      <c r="A106" s="5">
        <v>45866</v>
      </c>
      <c r="B106" s="1">
        <v>163.69</v>
      </c>
      <c r="C106" s="1">
        <f t="shared" si="8"/>
        <v>1.3560371517027849E-2</v>
      </c>
      <c r="D106" s="1">
        <f t="shared" si="9"/>
        <v>2.2319787830292636E-4</v>
      </c>
      <c r="E106" s="1">
        <v>93</v>
      </c>
      <c r="F106" s="1">
        <f t="shared" si="5"/>
        <v>1.3560371517027849E-2</v>
      </c>
      <c r="G106" s="1">
        <f t="shared" si="6"/>
        <v>2.2319787830292636E-4</v>
      </c>
      <c r="P106" s="10">
        <v>45863</v>
      </c>
      <c r="Q106" s="11">
        <v>583.91</v>
      </c>
      <c r="R106" s="1">
        <f t="shared" si="7"/>
        <v>2.3982047724272634E-4</v>
      </c>
    </row>
    <row r="107" spans="1:18" ht="19" x14ac:dyDescent="0.25">
      <c r="A107" s="5">
        <v>45863</v>
      </c>
      <c r="B107" s="1">
        <v>166.45</v>
      </c>
      <c r="C107" s="1">
        <f t="shared" si="8"/>
        <v>1.6861139959679826E-2</v>
      </c>
      <c r="D107" s="1">
        <f t="shared" si="9"/>
        <v>3.3271864755030545E-4</v>
      </c>
      <c r="E107" s="1">
        <v>94</v>
      </c>
      <c r="F107" s="1">
        <f t="shared" si="5"/>
        <v>1.6861139959679826E-2</v>
      </c>
      <c r="G107" s="1">
        <f t="shared" si="6"/>
        <v>3.3271864755030545E-4</v>
      </c>
      <c r="P107" s="10">
        <v>45862</v>
      </c>
      <c r="Q107" s="11">
        <v>581.6</v>
      </c>
      <c r="R107" s="1">
        <f t="shared" si="7"/>
        <v>-3.9560891233237066E-3</v>
      </c>
    </row>
    <row r="108" spans="1:18" ht="19" x14ac:dyDescent="0.25">
      <c r="A108" s="5">
        <v>45862</v>
      </c>
      <c r="B108" s="1">
        <v>167.15</v>
      </c>
      <c r="C108" s="1">
        <f t="shared" si="8"/>
        <v>4.2054671072395142E-3</v>
      </c>
      <c r="D108" s="1">
        <f t="shared" si="9"/>
        <v>3.1191153803872511E-5</v>
      </c>
      <c r="E108" s="1">
        <v>95</v>
      </c>
      <c r="F108" s="1">
        <f t="shared" si="5"/>
        <v>4.2054671072395142E-3</v>
      </c>
      <c r="G108" s="1">
        <f t="shared" si="6"/>
        <v>3.1191153803872511E-5</v>
      </c>
      <c r="P108" s="10">
        <v>45861</v>
      </c>
      <c r="Q108" s="11">
        <v>581.20000000000005</v>
      </c>
      <c r="R108" s="1">
        <f t="shared" si="7"/>
        <v>-6.8775790921591685E-4</v>
      </c>
    </row>
    <row r="109" spans="1:18" ht="19" x14ac:dyDescent="0.25">
      <c r="A109" s="5">
        <v>45861</v>
      </c>
      <c r="B109" s="1">
        <v>165.35</v>
      </c>
      <c r="C109" s="1">
        <f t="shared" si="8"/>
        <v>-1.0768770565360523E-2</v>
      </c>
      <c r="D109" s="1">
        <f t="shared" si="9"/>
        <v>8.8159584941461798E-5</v>
      </c>
      <c r="E109" s="1">
        <v>96</v>
      </c>
      <c r="F109" s="1">
        <f t="shared" si="5"/>
        <v>-1.0768770565360523E-2</v>
      </c>
      <c r="G109" s="1">
        <f t="shared" si="6"/>
        <v>8.8159584941461798E-5</v>
      </c>
      <c r="P109" s="10">
        <v>45860</v>
      </c>
      <c r="Q109" s="11">
        <v>576.29999999999995</v>
      </c>
      <c r="R109" s="1">
        <f t="shared" si="7"/>
        <v>-8.4308327598074505E-3</v>
      </c>
    </row>
    <row r="110" spans="1:18" ht="19" x14ac:dyDescent="0.25">
      <c r="A110" s="5">
        <v>45860</v>
      </c>
      <c r="B110" s="1">
        <v>166.25</v>
      </c>
      <c r="C110" s="1">
        <f t="shared" si="8"/>
        <v>5.4429996976111629E-3</v>
      </c>
      <c r="D110" s="1">
        <f t="shared" si="9"/>
        <v>4.6545642391289925E-5</v>
      </c>
      <c r="E110" s="1">
        <v>97</v>
      </c>
      <c r="F110" s="1">
        <f t="shared" si="5"/>
        <v>5.4429996976111629E-3</v>
      </c>
      <c r="G110" s="1">
        <f t="shared" si="6"/>
        <v>4.6545642391289925E-5</v>
      </c>
      <c r="P110" s="10">
        <v>45859</v>
      </c>
      <c r="Q110" s="11">
        <v>576.29999999999995</v>
      </c>
      <c r="R110" s="1">
        <f t="shared" si="7"/>
        <v>0</v>
      </c>
    </row>
    <row r="111" spans="1:18" ht="19" x14ac:dyDescent="0.25">
      <c r="A111" s="5">
        <v>45859</v>
      </c>
      <c r="B111" s="1">
        <v>162.62</v>
      </c>
      <c r="C111" s="1">
        <f t="shared" si="8"/>
        <v>-2.1834586466165387E-2</v>
      </c>
      <c r="D111" s="1">
        <f t="shared" si="9"/>
        <v>4.1841313998784967E-4</v>
      </c>
      <c r="E111" s="1">
        <v>98</v>
      </c>
      <c r="F111" s="1">
        <f t="shared" si="5"/>
        <v>-2.1834586466165387E-2</v>
      </c>
      <c r="G111" s="1">
        <f t="shared" si="6"/>
        <v>4.1841313998784967E-4</v>
      </c>
      <c r="P111" s="10">
        <v>45856</v>
      </c>
      <c r="Q111" s="11">
        <v>575.27</v>
      </c>
      <c r="R111" s="1">
        <f t="shared" si="7"/>
        <v>-1.7872635779975234E-3</v>
      </c>
    </row>
    <row r="112" spans="1:18" ht="19" x14ac:dyDescent="0.25">
      <c r="A112" s="5">
        <v>45856</v>
      </c>
      <c r="B112" s="1">
        <v>161.47</v>
      </c>
      <c r="C112" s="1">
        <f t="shared" si="8"/>
        <v>-7.0717008977985839E-3</v>
      </c>
      <c r="D112" s="1">
        <f t="shared" si="9"/>
        <v>3.2401868366968559E-5</v>
      </c>
      <c r="E112" s="1">
        <v>99</v>
      </c>
      <c r="F112" s="1">
        <f t="shared" si="5"/>
        <v>-7.0717008977985839E-3</v>
      </c>
      <c r="G112" s="1">
        <f t="shared" si="6"/>
        <v>3.2401868366968559E-5</v>
      </c>
      <c r="P112" s="10">
        <v>45855</v>
      </c>
      <c r="Q112" s="11">
        <v>575.53</v>
      </c>
      <c r="R112" s="1">
        <f t="shared" si="7"/>
        <v>4.5196168755539296E-4</v>
      </c>
    </row>
    <row r="113" spans="1:18" ht="19" x14ac:dyDescent="0.25">
      <c r="A113" s="5">
        <v>45855</v>
      </c>
      <c r="B113" s="1">
        <v>161.61000000000001</v>
      </c>
      <c r="C113" s="1">
        <f t="shared" si="8"/>
        <v>8.6703412398597126E-4</v>
      </c>
      <c r="D113" s="1">
        <f t="shared" si="9"/>
        <v>5.0466324774411467E-6</v>
      </c>
      <c r="E113" s="1">
        <v>100</v>
      </c>
      <c r="F113" s="1">
        <f t="shared" si="5"/>
        <v>8.6703412398597126E-4</v>
      </c>
      <c r="G113" s="1">
        <f t="shared" si="6"/>
        <v>5.0466324774411467E-6</v>
      </c>
      <c r="P113" s="10">
        <v>45854</v>
      </c>
      <c r="Q113" s="11">
        <v>572.1</v>
      </c>
      <c r="R113" s="1">
        <f t="shared" si="7"/>
        <v>-5.9597240804127498E-3</v>
      </c>
    </row>
    <row r="114" spans="1:18" ht="19" x14ac:dyDescent="0.25">
      <c r="A114" s="5">
        <v>45854</v>
      </c>
      <c r="B114" s="1">
        <v>160.21</v>
      </c>
      <c r="C114" s="1">
        <f t="shared" si="8"/>
        <v>-8.662830270404093E-3</v>
      </c>
      <c r="D114" s="1">
        <f t="shared" si="9"/>
        <v>5.3047817639855252E-5</v>
      </c>
      <c r="E114" s="1">
        <v>101</v>
      </c>
      <c r="F114" s="1">
        <f t="shared" si="5"/>
        <v>-8.662830270404093E-3</v>
      </c>
      <c r="G114" s="1">
        <f t="shared" si="6"/>
        <v>5.3047817639855252E-5</v>
      </c>
      <c r="P114" s="10">
        <v>45853</v>
      </c>
      <c r="Q114" s="11">
        <v>570.23</v>
      </c>
      <c r="R114" s="1">
        <f t="shared" si="7"/>
        <v>-3.2686593252927889E-3</v>
      </c>
    </row>
    <row r="115" spans="1:18" ht="19" x14ac:dyDescent="0.25">
      <c r="A115" s="5">
        <v>45853</v>
      </c>
      <c r="B115" s="1">
        <v>160.72999999999999</v>
      </c>
      <c r="C115" s="1">
        <f t="shared" si="8"/>
        <v>3.2457399662941251E-3</v>
      </c>
      <c r="D115" s="1">
        <f t="shared" si="9"/>
        <v>2.1392261900644771E-5</v>
      </c>
      <c r="E115" s="1">
        <v>102</v>
      </c>
      <c r="F115" s="1">
        <f t="shared" si="5"/>
        <v>3.2457399662941251E-3</v>
      </c>
      <c r="G115" s="1">
        <f t="shared" si="6"/>
        <v>2.1392261900644771E-5</v>
      </c>
      <c r="P115" s="10">
        <v>45852</v>
      </c>
      <c r="Q115" s="11">
        <v>572.71</v>
      </c>
      <c r="R115" s="1">
        <f t="shared" si="7"/>
        <v>4.349122283990702E-3</v>
      </c>
    </row>
    <row r="116" spans="1:18" ht="19" x14ac:dyDescent="0.25">
      <c r="A116" s="5">
        <v>45852</v>
      </c>
      <c r="B116" s="1">
        <v>165.09</v>
      </c>
      <c r="C116" s="1">
        <f t="shared" si="8"/>
        <v>2.7126236545760057E-2</v>
      </c>
      <c r="D116" s="1">
        <f t="shared" si="9"/>
        <v>8.1257342387284701E-4</v>
      </c>
      <c r="E116" s="1">
        <v>103</v>
      </c>
      <c r="F116" s="1">
        <f t="shared" si="5"/>
        <v>2.7126236545760057E-2</v>
      </c>
      <c r="G116" s="1">
        <f t="shared" si="6"/>
        <v>8.1257342387284701E-4</v>
      </c>
      <c r="P116" s="10">
        <v>45849</v>
      </c>
      <c r="Q116" s="11">
        <v>571.59</v>
      </c>
      <c r="R116" s="1">
        <f t="shared" si="7"/>
        <v>-1.9556145344066011E-3</v>
      </c>
    </row>
    <row r="117" spans="1:18" ht="19" x14ac:dyDescent="0.25">
      <c r="A117" s="5">
        <v>45849</v>
      </c>
      <c r="B117" s="1">
        <v>167.09</v>
      </c>
      <c r="C117" s="1">
        <f t="shared" si="8"/>
        <v>1.2114604155309225E-2</v>
      </c>
      <c r="D117" s="1">
        <f t="shared" si="9"/>
        <v>1.8208914650018262E-4</v>
      </c>
      <c r="E117" s="1">
        <v>104</v>
      </c>
      <c r="F117" s="1">
        <f t="shared" si="5"/>
        <v>1.2114604155309225E-2</v>
      </c>
      <c r="G117" s="1">
        <f t="shared" si="6"/>
        <v>1.8208914650018262E-4</v>
      </c>
      <c r="P117" s="10">
        <v>45848</v>
      </c>
      <c r="Q117" s="11">
        <v>573.65</v>
      </c>
      <c r="R117" s="1">
        <f t="shared" si="7"/>
        <v>3.6039818751201829E-3</v>
      </c>
    </row>
    <row r="118" spans="1:18" ht="19" x14ac:dyDescent="0.25">
      <c r="A118" s="5">
        <v>45848</v>
      </c>
      <c r="B118" s="1">
        <v>170.46</v>
      </c>
      <c r="C118" s="1">
        <f t="shared" si="8"/>
        <v>2.0168771320845082E-2</v>
      </c>
      <c r="D118" s="1">
        <f t="shared" si="9"/>
        <v>4.643252815175723E-4</v>
      </c>
      <c r="E118" s="1">
        <v>105</v>
      </c>
      <c r="F118" s="1">
        <f t="shared" si="5"/>
        <v>2.0168771320845082E-2</v>
      </c>
      <c r="G118" s="1">
        <f t="shared" si="6"/>
        <v>4.643252815175723E-4</v>
      </c>
      <c r="P118" s="10">
        <v>45847</v>
      </c>
      <c r="Q118" s="11">
        <v>571.97</v>
      </c>
      <c r="R118" s="1">
        <f t="shared" si="7"/>
        <v>-2.928615009151835E-3</v>
      </c>
    </row>
    <row r="119" spans="1:18" ht="19" x14ac:dyDescent="0.25">
      <c r="A119" s="5">
        <v>45847</v>
      </c>
      <c r="B119" s="1">
        <v>167.36</v>
      </c>
      <c r="C119" s="1">
        <f t="shared" si="8"/>
        <v>-1.818608471195585E-2</v>
      </c>
      <c r="D119" s="1">
        <f t="shared" si="9"/>
        <v>2.824634075641292E-4</v>
      </c>
      <c r="E119" s="1">
        <v>106</v>
      </c>
      <c r="F119" s="1">
        <f t="shared" si="5"/>
        <v>-1.818608471195585E-2</v>
      </c>
      <c r="G119" s="1">
        <f t="shared" si="6"/>
        <v>2.824634075641292E-4</v>
      </c>
      <c r="P119" s="10">
        <v>45846</v>
      </c>
      <c r="Q119" s="11">
        <v>568.6</v>
      </c>
      <c r="R119" s="1">
        <f t="shared" si="7"/>
        <v>-5.8919174082556853E-3</v>
      </c>
    </row>
    <row r="120" spans="1:18" ht="19" x14ac:dyDescent="0.25">
      <c r="A120" s="5">
        <v>45846</v>
      </c>
      <c r="B120" s="1">
        <v>166.74</v>
      </c>
      <c r="C120" s="1">
        <f t="shared" si="8"/>
        <v>-3.7045889101338702E-3</v>
      </c>
      <c r="D120" s="1">
        <f t="shared" si="9"/>
        <v>5.4063314398327956E-6</v>
      </c>
      <c r="E120" s="1">
        <v>107</v>
      </c>
      <c r="F120" s="1">
        <f t="shared" si="5"/>
        <v>-3.7045889101338702E-3</v>
      </c>
      <c r="G120" s="1">
        <f t="shared" si="6"/>
        <v>5.4063314398327956E-6</v>
      </c>
      <c r="P120" s="10">
        <v>45845</v>
      </c>
      <c r="Q120" s="11">
        <v>568.98</v>
      </c>
      <c r="R120" s="1">
        <f t="shared" si="7"/>
        <v>6.6830812521983022E-4</v>
      </c>
    </row>
    <row r="121" spans="1:18" ht="19" x14ac:dyDescent="0.25">
      <c r="A121" s="5">
        <v>45845</v>
      </c>
      <c r="B121" s="1">
        <v>163.68</v>
      </c>
      <c r="C121" s="1">
        <f t="shared" si="8"/>
        <v>-1.8351925152932724E-2</v>
      </c>
      <c r="D121" s="1">
        <f t="shared" si="9"/>
        <v>2.8806535435425032E-4</v>
      </c>
      <c r="E121" s="1">
        <v>108</v>
      </c>
      <c r="F121" s="1">
        <f t="shared" si="5"/>
        <v>-1.8351925152932724E-2</v>
      </c>
      <c r="G121" s="1">
        <f t="shared" si="6"/>
        <v>2.8806535435425032E-4</v>
      </c>
      <c r="P121" s="10">
        <v>45841</v>
      </c>
      <c r="Q121" s="11">
        <v>573.58000000000004</v>
      </c>
      <c r="R121" s="1">
        <f t="shared" si="7"/>
        <v>8.0846426939435879E-3</v>
      </c>
    </row>
    <row r="122" spans="1:18" ht="19" x14ac:dyDescent="0.25">
      <c r="A122" s="5">
        <v>45841</v>
      </c>
      <c r="B122" s="1">
        <v>170.37</v>
      </c>
      <c r="C122" s="1">
        <f t="shared" si="8"/>
        <v>4.0872434017595292E-2</v>
      </c>
      <c r="D122" s="1">
        <f t="shared" si="9"/>
        <v>1.7852206038581589E-3</v>
      </c>
      <c r="E122" s="1">
        <v>109</v>
      </c>
      <c r="F122" s="1">
        <f t="shared" si="5"/>
        <v>4.0872434017595292E-2</v>
      </c>
      <c r="G122" s="1">
        <f t="shared" si="6"/>
        <v>1.7852206038581589E-3</v>
      </c>
      <c r="P122" s="10">
        <v>45840</v>
      </c>
      <c r="Q122" s="11">
        <v>568.66</v>
      </c>
      <c r="R122" s="1">
        <f t="shared" si="7"/>
        <v>-8.5777049408976465E-3</v>
      </c>
    </row>
    <row r="123" spans="1:18" ht="19" x14ac:dyDescent="0.25">
      <c r="A123" s="5">
        <v>45840</v>
      </c>
      <c r="B123" s="1">
        <v>169.2</v>
      </c>
      <c r="C123" s="1">
        <f t="shared" si="8"/>
        <v>-6.867406233491905E-3</v>
      </c>
      <c r="D123" s="1">
        <f t="shared" si="9"/>
        <v>3.0117806389498144E-5</v>
      </c>
      <c r="E123" s="1">
        <v>110</v>
      </c>
      <c r="F123" s="1">
        <f t="shared" si="5"/>
        <v>-6.867406233491905E-3</v>
      </c>
      <c r="G123" s="1">
        <f t="shared" si="6"/>
        <v>3.0117806389498144E-5</v>
      </c>
      <c r="P123" s="10">
        <v>45839</v>
      </c>
      <c r="Q123" s="11">
        <v>566.15</v>
      </c>
      <c r="R123" s="1">
        <f t="shared" si="7"/>
        <v>-4.4138852741532567E-3</v>
      </c>
    </row>
    <row r="124" spans="1:18" ht="19" x14ac:dyDescent="0.25">
      <c r="A124" s="5">
        <v>45839</v>
      </c>
      <c r="B124" s="1">
        <v>167.8</v>
      </c>
      <c r="C124" s="1">
        <f t="shared" si="8"/>
        <v>-8.2742316784868639E-3</v>
      </c>
      <c r="D124" s="1">
        <f t="shared" si="9"/>
        <v>4.7538193761190148E-5</v>
      </c>
      <c r="E124" s="1">
        <v>111</v>
      </c>
      <c r="F124" s="1">
        <f t="shared" si="5"/>
        <v>-8.2742316784868639E-3</v>
      </c>
      <c r="G124" s="1">
        <f t="shared" si="6"/>
        <v>4.7538193761190148E-5</v>
      </c>
      <c r="P124" s="10">
        <v>45838</v>
      </c>
      <c r="Q124" s="11">
        <v>566.41</v>
      </c>
      <c r="R124" s="1">
        <f t="shared" si="7"/>
        <v>4.5924225028701036E-4</v>
      </c>
    </row>
    <row r="125" spans="1:18" ht="19" x14ac:dyDescent="0.25">
      <c r="A125" s="5">
        <v>45838</v>
      </c>
      <c r="B125" s="1">
        <v>161.68</v>
      </c>
      <c r="C125" s="1">
        <f t="shared" si="8"/>
        <v>-3.6471990464839121E-2</v>
      </c>
      <c r="D125" s="1">
        <f t="shared" si="9"/>
        <v>1.2314873092053029E-3</v>
      </c>
      <c r="E125" s="1">
        <v>112</v>
      </c>
      <c r="F125" s="1">
        <f t="shared" si="5"/>
        <v>-3.6471990464839121E-2</v>
      </c>
      <c r="G125" s="1">
        <f t="shared" si="6"/>
        <v>1.2314873092053029E-3</v>
      </c>
      <c r="P125" s="10">
        <v>45835</v>
      </c>
      <c r="Q125" s="11">
        <v>563.59</v>
      </c>
      <c r="R125" s="1">
        <f t="shared" si="7"/>
        <v>-4.9787256580920824E-3</v>
      </c>
    </row>
    <row r="126" spans="1:18" ht="19" x14ac:dyDescent="0.25">
      <c r="A126" s="5">
        <v>45835</v>
      </c>
      <c r="B126" s="1">
        <v>163.05000000000001</v>
      </c>
      <c r="C126" s="1">
        <f t="shared" si="8"/>
        <v>8.4735279564572275E-3</v>
      </c>
      <c r="D126" s="1">
        <f t="shared" si="9"/>
        <v>9.7080918286412241E-5</v>
      </c>
      <c r="E126" s="1">
        <v>113</v>
      </c>
      <c r="F126" s="1">
        <f t="shared" si="5"/>
        <v>8.4735279564572275E-3</v>
      </c>
      <c r="G126" s="1">
        <f t="shared" si="6"/>
        <v>9.7080918286412241E-5</v>
      </c>
      <c r="P126" s="10">
        <v>45834</v>
      </c>
      <c r="Q126" s="11">
        <v>560.80999999999995</v>
      </c>
      <c r="R126" s="1">
        <f t="shared" si="7"/>
        <v>-4.9326638158946863E-3</v>
      </c>
    </row>
    <row r="127" spans="1:18" ht="19" x14ac:dyDescent="0.25">
      <c r="A127" s="5">
        <v>45834</v>
      </c>
      <c r="B127" s="1">
        <v>160.37</v>
      </c>
      <c r="C127" s="1">
        <f t="shared" si="8"/>
        <v>-1.6436675866298722E-2</v>
      </c>
      <c r="D127" s="1">
        <f t="shared" si="9"/>
        <v>2.2672044250105747E-4</v>
      </c>
      <c r="E127" s="1">
        <v>114</v>
      </c>
      <c r="F127" s="1">
        <f t="shared" si="5"/>
        <v>-1.6436675866298722E-2</v>
      </c>
      <c r="G127" s="1">
        <f t="shared" si="6"/>
        <v>2.2672044250105747E-4</v>
      </c>
      <c r="P127" s="10">
        <v>45833</v>
      </c>
      <c r="Q127" s="11">
        <v>556.41</v>
      </c>
      <c r="R127" s="1">
        <f t="shared" si="7"/>
        <v>-7.8457944758473959E-3</v>
      </c>
    </row>
    <row r="128" spans="1:18" ht="19" x14ac:dyDescent="0.25">
      <c r="A128" s="5">
        <v>45833</v>
      </c>
      <c r="B128" s="1">
        <v>159.72999999999999</v>
      </c>
      <c r="C128" s="1">
        <f t="shared" si="8"/>
        <v>-3.9907713412733973E-3</v>
      </c>
      <c r="D128" s="1">
        <f t="shared" si="9"/>
        <v>6.819067080810124E-6</v>
      </c>
      <c r="E128" s="1">
        <v>115</v>
      </c>
      <c r="F128" s="1">
        <f t="shared" si="5"/>
        <v>-3.9907713412733973E-3</v>
      </c>
      <c r="G128" s="1">
        <f t="shared" si="6"/>
        <v>6.819067080810124E-6</v>
      </c>
      <c r="P128" s="10">
        <v>45832</v>
      </c>
      <c r="Q128" s="11">
        <v>556.13</v>
      </c>
      <c r="R128" s="1">
        <f t="shared" si="7"/>
        <v>-5.032260383529641E-4</v>
      </c>
    </row>
    <row r="129" spans="1:18" ht="19" x14ac:dyDescent="0.25">
      <c r="A129" s="5">
        <v>45832</v>
      </c>
      <c r="B129" s="1">
        <v>161.35</v>
      </c>
      <c r="C129" s="1">
        <f t="shared" si="8"/>
        <v>1.0142114818756681E-2</v>
      </c>
      <c r="D129" s="1">
        <f t="shared" si="9"/>
        <v>1.3274615614067951E-4</v>
      </c>
      <c r="E129" s="1">
        <v>116</v>
      </c>
      <c r="F129" s="1">
        <f t="shared" si="5"/>
        <v>1.0142114818756681E-2</v>
      </c>
      <c r="G129" s="1">
        <f t="shared" si="6"/>
        <v>1.3274615614067951E-4</v>
      </c>
      <c r="P129" s="10">
        <v>45831</v>
      </c>
      <c r="Q129" s="11">
        <v>550.08000000000004</v>
      </c>
      <c r="R129" s="1">
        <f t="shared" si="7"/>
        <v>-1.087875137108222E-2</v>
      </c>
    </row>
    <row r="130" spans="1:18" ht="19" x14ac:dyDescent="0.25">
      <c r="A130" s="5">
        <v>45831</v>
      </c>
      <c r="B130" s="1">
        <v>160.74</v>
      </c>
      <c r="C130" s="1">
        <f t="shared" si="8"/>
        <v>-3.7806011775642096E-3</v>
      </c>
      <c r="D130" s="1">
        <f t="shared" si="9"/>
        <v>5.765589443383436E-6</v>
      </c>
      <c r="E130" s="1">
        <v>117</v>
      </c>
      <c r="F130" s="1">
        <f t="shared" si="5"/>
        <v>-3.7806011775642096E-3</v>
      </c>
      <c r="G130" s="1">
        <f t="shared" si="6"/>
        <v>5.765589443383436E-6</v>
      </c>
      <c r="P130" s="10">
        <v>45828</v>
      </c>
      <c r="Q130" s="11">
        <v>544.48</v>
      </c>
      <c r="R130" s="1">
        <f t="shared" si="7"/>
        <v>-1.0180337405468335E-2</v>
      </c>
    </row>
    <row r="131" spans="1:18" ht="19" x14ac:dyDescent="0.25">
      <c r="A131" s="5">
        <v>45828</v>
      </c>
      <c r="B131" s="1">
        <v>155.86000000000001</v>
      </c>
      <c r="C131" s="1">
        <f t="shared" si="8"/>
        <v>-3.0359586910538729E-2</v>
      </c>
      <c r="D131" s="1">
        <f t="shared" si="9"/>
        <v>8.3984908926896303E-4</v>
      </c>
      <c r="E131" s="1">
        <v>118</v>
      </c>
      <c r="F131" s="1">
        <f t="shared" si="5"/>
        <v>-3.0359586910538729E-2</v>
      </c>
      <c r="G131" s="1">
        <f t="shared" si="6"/>
        <v>8.3984908926896303E-4</v>
      </c>
      <c r="P131" s="10">
        <v>45826</v>
      </c>
      <c r="Q131" s="11">
        <v>545.99</v>
      </c>
      <c r="R131" s="1">
        <f t="shared" si="7"/>
        <v>2.7732882750514084E-3</v>
      </c>
    </row>
    <row r="132" spans="1:18" ht="19" x14ac:dyDescent="0.25">
      <c r="A132" s="5">
        <v>45826</v>
      </c>
      <c r="B132" s="1">
        <v>155.43</v>
      </c>
      <c r="C132" s="1">
        <f t="shared" si="8"/>
        <v>-2.7588861799050864E-3</v>
      </c>
      <c r="D132" s="1">
        <f t="shared" si="9"/>
        <v>1.9028800604879921E-6</v>
      </c>
      <c r="E132" s="1">
        <v>119</v>
      </c>
      <c r="F132" s="1">
        <f t="shared" si="5"/>
        <v>-2.7588861799050864E-3</v>
      </c>
      <c r="G132" s="1">
        <f t="shared" si="6"/>
        <v>1.9028800604879921E-6</v>
      </c>
      <c r="P132" s="10">
        <v>45825</v>
      </c>
      <c r="Q132" s="11">
        <v>546.1</v>
      </c>
      <c r="R132" s="1">
        <f t="shared" si="7"/>
        <v>2.0146889137166181E-4</v>
      </c>
    </row>
    <row r="133" spans="1:18" ht="19" x14ac:dyDescent="0.25">
      <c r="A133" s="5">
        <v>45825</v>
      </c>
      <c r="B133" s="1">
        <v>156.07</v>
      </c>
      <c r="C133" s="1">
        <f t="shared" si="8"/>
        <v>4.1176092131505262E-3</v>
      </c>
      <c r="D133" s="1">
        <f t="shared" si="9"/>
        <v>3.0217516987632919E-5</v>
      </c>
      <c r="E133" s="1">
        <v>120</v>
      </c>
      <c r="F133" s="1">
        <f t="shared" si="5"/>
        <v>4.1176092131505262E-3</v>
      </c>
      <c r="G133" s="1">
        <f t="shared" si="6"/>
        <v>3.0217516987632919E-5</v>
      </c>
      <c r="P133" s="10">
        <v>45824</v>
      </c>
      <c r="Q133" s="11">
        <v>550.79</v>
      </c>
      <c r="R133" s="1">
        <f t="shared" si="7"/>
        <v>8.588170664713313E-3</v>
      </c>
    </row>
    <row r="134" spans="1:18" ht="19" x14ac:dyDescent="0.25">
      <c r="A134" s="5">
        <v>45824</v>
      </c>
      <c r="B134" s="1">
        <v>158.84</v>
      </c>
      <c r="C134" s="1">
        <f t="shared" si="8"/>
        <v>1.7748446210034026E-2</v>
      </c>
      <c r="D134" s="1">
        <f t="shared" si="9"/>
        <v>3.6587591581178794E-4</v>
      </c>
      <c r="E134" s="1">
        <v>121</v>
      </c>
      <c r="F134" s="1">
        <f t="shared" si="5"/>
        <v>1.7748446210034026E-2</v>
      </c>
      <c r="G134" s="1">
        <f t="shared" si="6"/>
        <v>3.6587591581178794E-4</v>
      </c>
      <c r="P134" s="10">
        <v>45821</v>
      </c>
      <c r="Q134" s="11">
        <v>545.52</v>
      </c>
      <c r="R134" s="1">
        <f t="shared" si="7"/>
        <v>-9.5680749468944285E-3</v>
      </c>
    </row>
    <row r="135" spans="1:18" ht="19" x14ac:dyDescent="0.25">
      <c r="A135" s="5">
        <v>45821</v>
      </c>
      <c r="B135" s="1">
        <v>159.56</v>
      </c>
      <c r="C135" s="1">
        <f t="shared" si="8"/>
        <v>4.532863258625024E-3</v>
      </c>
      <c r="D135" s="1">
        <f t="shared" si="9"/>
        <v>3.4955294260072607E-5</v>
      </c>
      <c r="E135" s="1">
        <v>122</v>
      </c>
      <c r="F135" s="1">
        <f t="shared" si="5"/>
        <v>4.532863258625024E-3</v>
      </c>
      <c r="G135" s="1">
        <f t="shared" si="6"/>
        <v>3.4955294260072607E-5</v>
      </c>
      <c r="P135" s="10">
        <v>45820</v>
      </c>
      <c r="Q135" s="11">
        <v>551.66</v>
      </c>
      <c r="R135" s="1">
        <f t="shared" si="7"/>
        <v>1.1255316028743193E-2</v>
      </c>
    </row>
    <row r="136" spans="1:18" ht="19" x14ac:dyDescent="0.25">
      <c r="A136" s="5">
        <v>45820</v>
      </c>
      <c r="B136" s="1">
        <v>161.79</v>
      </c>
      <c r="C136" s="1">
        <f t="shared" si="8"/>
        <v>1.3975933817999435E-2</v>
      </c>
      <c r="D136" s="1">
        <f t="shared" si="9"/>
        <v>2.3578741272954723E-4</v>
      </c>
      <c r="E136" s="1">
        <v>123</v>
      </c>
      <c r="F136" s="1">
        <f t="shared" si="5"/>
        <v>1.3975933817999435E-2</v>
      </c>
      <c r="G136" s="1">
        <f t="shared" si="6"/>
        <v>2.3578741272954723E-4</v>
      </c>
      <c r="P136" s="10">
        <v>45819</v>
      </c>
      <c r="Q136" s="11">
        <v>549.59</v>
      </c>
      <c r="R136" s="1">
        <f t="shared" si="7"/>
        <v>-3.7523112061776031E-3</v>
      </c>
    </row>
    <row r="137" spans="1:18" ht="19" x14ac:dyDescent="0.25">
      <c r="A137" s="5">
        <v>45819</v>
      </c>
      <c r="B137" s="1">
        <v>161.49</v>
      </c>
      <c r="C137" s="1">
        <f t="shared" si="8"/>
        <v>-1.854255516410056E-3</v>
      </c>
      <c r="D137" s="1">
        <f t="shared" si="9"/>
        <v>2.2545263059836523E-7</v>
      </c>
      <c r="E137" s="1">
        <v>124</v>
      </c>
      <c r="F137" s="1">
        <f t="shared" si="5"/>
        <v>-1.854255516410056E-3</v>
      </c>
      <c r="G137" s="1">
        <f t="shared" si="6"/>
        <v>2.2545263059836523E-7</v>
      </c>
      <c r="P137" s="10">
        <v>45818</v>
      </c>
      <c r="Q137" s="11">
        <v>551.11</v>
      </c>
      <c r="R137" s="1">
        <f t="shared" si="7"/>
        <v>2.765698065830859E-3</v>
      </c>
    </row>
    <row r="138" spans="1:18" ht="19" x14ac:dyDescent="0.25">
      <c r="A138" s="5">
        <v>45818</v>
      </c>
      <c r="B138" s="1">
        <v>167.24</v>
      </c>
      <c r="C138" s="1">
        <f t="shared" si="8"/>
        <v>3.5605919871199453E-2</v>
      </c>
      <c r="D138" s="1">
        <f t="shared" si="9"/>
        <v>1.3679166223390762E-3</v>
      </c>
      <c r="E138" s="1">
        <v>125</v>
      </c>
      <c r="F138" s="1">
        <f t="shared" si="5"/>
        <v>3.5605919871199453E-2</v>
      </c>
      <c r="G138" s="1">
        <f t="shared" si="6"/>
        <v>1.3679166223390762E-3</v>
      </c>
      <c r="P138" s="10">
        <v>45817</v>
      </c>
      <c r="Q138" s="11">
        <v>547.99</v>
      </c>
      <c r="R138" s="1">
        <f t="shared" si="7"/>
        <v>-5.661301736495445E-3</v>
      </c>
    </row>
    <row r="139" spans="1:18" ht="19" x14ac:dyDescent="0.25">
      <c r="A139" s="5">
        <v>45817</v>
      </c>
      <c r="B139" s="1">
        <v>161.59</v>
      </c>
      <c r="C139" s="1">
        <f t="shared" si="8"/>
        <v>-3.3783783783783813E-2</v>
      </c>
      <c r="D139" s="1">
        <f t="shared" si="9"/>
        <v>1.0500416909663896E-3</v>
      </c>
      <c r="E139" s="1">
        <v>126</v>
      </c>
      <c r="F139" s="1">
        <f t="shared" si="5"/>
        <v>-3.3783783783783813E-2</v>
      </c>
      <c r="G139" s="1">
        <f t="shared" si="6"/>
        <v>1.0500416909663896E-3</v>
      </c>
      <c r="P139" s="10">
        <v>45814</v>
      </c>
      <c r="Q139" s="11">
        <v>547.4</v>
      </c>
      <c r="R139" s="1">
        <f t="shared" si="7"/>
        <v>-1.0766619828829573E-3</v>
      </c>
    </row>
    <row r="140" spans="1:18" ht="19" x14ac:dyDescent="0.25">
      <c r="A140" s="5">
        <v>45814</v>
      </c>
      <c r="B140" s="1">
        <v>159.71</v>
      </c>
      <c r="C140" s="1">
        <f t="shared" si="8"/>
        <v>-1.1634383315799217E-2</v>
      </c>
      <c r="D140" s="1">
        <f t="shared" si="9"/>
        <v>1.0516392409267346E-4</v>
      </c>
      <c r="E140" s="1">
        <v>127</v>
      </c>
      <c r="F140" s="1">
        <f t="shared" si="5"/>
        <v>-1.1634383315799217E-2</v>
      </c>
      <c r="G140" s="1">
        <f t="shared" si="6"/>
        <v>1.0516392409267346E-4</v>
      </c>
      <c r="P140" s="10">
        <v>45813</v>
      </c>
      <c r="Q140" s="11">
        <v>541.86</v>
      </c>
      <c r="R140" s="1">
        <f t="shared" si="7"/>
        <v>-1.0120569967117216E-2</v>
      </c>
    </row>
    <row r="141" spans="1:18" ht="19" x14ac:dyDescent="0.25">
      <c r="A141" s="5">
        <v>45813</v>
      </c>
      <c r="B141" s="1">
        <v>159.07</v>
      </c>
      <c r="C141" s="1">
        <f t="shared" si="8"/>
        <v>-4.0072631644857224E-3</v>
      </c>
      <c r="D141" s="1">
        <f t="shared" si="9"/>
        <v>6.9054703898977485E-6</v>
      </c>
      <c r="E141" s="1">
        <v>128</v>
      </c>
      <c r="F141" s="1">
        <f t="shared" si="5"/>
        <v>-4.0072631644857224E-3</v>
      </c>
      <c r="G141" s="1">
        <f t="shared" si="6"/>
        <v>6.9054703898977485E-6</v>
      </c>
      <c r="P141" s="10">
        <v>45812</v>
      </c>
      <c r="Q141" s="11">
        <v>544.41</v>
      </c>
      <c r="R141" s="1">
        <f t="shared" si="7"/>
        <v>4.7060126231867174E-3</v>
      </c>
    </row>
    <row r="142" spans="1:18" ht="19" x14ac:dyDescent="0.25">
      <c r="A142" s="5">
        <v>45812</v>
      </c>
      <c r="B142" s="1">
        <v>160.87</v>
      </c>
      <c r="C142" s="1">
        <f t="shared" si="8"/>
        <v>1.1315772930156606E-2</v>
      </c>
      <c r="D142" s="1">
        <f t="shared" si="9"/>
        <v>1.6116835498164914E-4</v>
      </c>
      <c r="E142" s="1">
        <v>129</v>
      </c>
      <c r="F142" s="1">
        <f t="shared" si="5"/>
        <v>1.1315772930156606E-2</v>
      </c>
      <c r="G142" s="1">
        <f t="shared" si="6"/>
        <v>1.6116835498164914E-4</v>
      </c>
      <c r="P142" s="10">
        <v>45811</v>
      </c>
      <c r="Q142" s="11">
        <v>544.76</v>
      </c>
      <c r="R142" s="1">
        <f t="shared" si="7"/>
        <v>6.4289781598431833E-4</v>
      </c>
    </row>
    <row r="143" spans="1:18" ht="19" x14ac:dyDescent="0.25">
      <c r="A143" s="5">
        <v>45811</v>
      </c>
      <c r="B143" s="1">
        <v>162.12</v>
      </c>
      <c r="C143" s="1">
        <f t="shared" si="8"/>
        <v>7.7702492695965681E-3</v>
      </c>
      <c r="D143" s="1">
        <f t="shared" si="9"/>
        <v>8.3716758695757528E-5</v>
      </c>
      <c r="E143" s="1">
        <v>130</v>
      </c>
      <c r="F143" s="1">
        <f t="shared" ref="F143:F206" si="10">IF(E143&lt;$B$5,C143,"")</f>
        <v>7.7702492695965681E-3</v>
      </c>
      <c r="G143" s="1">
        <f t="shared" ref="G143:G206" si="11">IF(E143&lt;=$B$5,D143,"")</f>
        <v>8.3716758695757528E-5</v>
      </c>
      <c r="P143" s="10">
        <v>45810</v>
      </c>
      <c r="Q143" s="11">
        <v>541.67999999999995</v>
      </c>
      <c r="R143" s="1">
        <f t="shared" ref="R143:R206" si="12">(Q143-Q142)/Q142</f>
        <v>-5.6538659226081965E-3</v>
      </c>
    </row>
    <row r="144" spans="1:18" ht="19" x14ac:dyDescent="0.25">
      <c r="A144" s="5">
        <v>45810</v>
      </c>
      <c r="B144" s="1">
        <v>159.11000000000001</v>
      </c>
      <c r="C144" s="1">
        <f t="shared" ref="C144:C207" si="13">(B144-B143)/B143</f>
        <v>-1.8566493955094934E-2</v>
      </c>
      <c r="D144" s="1">
        <f t="shared" ref="D144:D207" si="14">(C144-$B$7)^2</f>
        <v>2.9539492703368179E-4</v>
      </c>
      <c r="E144" s="1">
        <v>131</v>
      </c>
      <c r="F144" s="1">
        <f t="shared" si="10"/>
        <v>-1.8566493955094934E-2</v>
      </c>
      <c r="G144" s="1">
        <f t="shared" si="11"/>
        <v>2.9539492703368179E-4</v>
      </c>
      <c r="P144" s="10">
        <v>45807</v>
      </c>
      <c r="Q144" s="11">
        <v>538.54999999999995</v>
      </c>
      <c r="R144" s="1">
        <f t="shared" si="12"/>
        <v>-5.7783193029094593E-3</v>
      </c>
    </row>
    <row r="145" spans="1:18" ht="19" x14ac:dyDescent="0.25">
      <c r="A145" s="5">
        <v>45807</v>
      </c>
      <c r="B145" s="1">
        <v>159.28</v>
      </c>
      <c r="C145" s="1">
        <f t="shared" si="13"/>
        <v>1.0684432153855036E-3</v>
      </c>
      <c r="D145" s="1">
        <f t="shared" si="14"/>
        <v>5.9921175124141049E-6</v>
      </c>
      <c r="E145" s="1">
        <v>132</v>
      </c>
      <c r="F145" s="1">
        <f t="shared" si="10"/>
        <v>1.0684432153855036E-3</v>
      </c>
      <c r="G145" s="1">
        <f t="shared" si="11"/>
        <v>5.9921175124141049E-6</v>
      </c>
      <c r="P145" s="10">
        <v>45806</v>
      </c>
      <c r="Q145" s="11">
        <v>539.11</v>
      </c>
      <c r="R145" s="1">
        <f t="shared" si="12"/>
        <v>1.0398291709220299E-3</v>
      </c>
    </row>
    <row r="146" spans="1:18" ht="19" x14ac:dyDescent="0.25">
      <c r="A146" s="5">
        <v>45806</v>
      </c>
      <c r="B146" s="1">
        <v>161.11000000000001</v>
      </c>
      <c r="C146" s="1">
        <f t="shared" si="13"/>
        <v>1.1489201406328557E-2</v>
      </c>
      <c r="D146" s="1">
        <f t="shared" si="14"/>
        <v>1.6560185424115338E-4</v>
      </c>
      <c r="E146" s="1">
        <v>133</v>
      </c>
      <c r="F146" s="1">
        <f t="shared" si="10"/>
        <v>1.1489201406328557E-2</v>
      </c>
      <c r="G146" s="1">
        <f t="shared" si="11"/>
        <v>1.6560185424115338E-4</v>
      </c>
      <c r="P146" s="10">
        <v>45805</v>
      </c>
      <c r="Q146" s="11">
        <v>537.04</v>
      </c>
      <c r="R146" s="1">
        <f t="shared" si="12"/>
        <v>-3.8396616645954441E-3</v>
      </c>
    </row>
    <row r="147" spans="1:18" ht="19" x14ac:dyDescent="0.25">
      <c r="A147" s="5">
        <v>45805</v>
      </c>
      <c r="B147" s="1">
        <v>161.53</v>
      </c>
      <c r="C147" s="1">
        <f t="shared" si="13"/>
        <v>2.6069145304449598E-3</v>
      </c>
      <c r="D147" s="1">
        <f t="shared" si="14"/>
        <v>1.5890998464903356E-5</v>
      </c>
      <c r="E147" s="1">
        <v>134</v>
      </c>
      <c r="F147" s="1">
        <f t="shared" si="10"/>
        <v>2.6069145304449598E-3</v>
      </c>
      <c r="G147" s="1">
        <f t="shared" si="11"/>
        <v>1.5890998464903356E-5</v>
      </c>
      <c r="P147" s="10">
        <v>45804</v>
      </c>
      <c r="Q147" s="11">
        <v>540.12</v>
      </c>
      <c r="R147" s="1">
        <f t="shared" si="12"/>
        <v>5.7351407716371983E-3</v>
      </c>
    </row>
    <row r="148" spans="1:18" ht="19" x14ac:dyDescent="0.25">
      <c r="A148" s="5">
        <v>45804</v>
      </c>
      <c r="B148" s="1">
        <v>163.30000000000001</v>
      </c>
      <c r="C148" s="1">
        <f t="shared" si="13"/>
        <v>1.0957716832786542E-2</v>
      </c>
      <c r="D148" s="1">
        <f t="shared" si="14"/>
        <v>1.5220536451007524E-4</v>
      </c>
      <c r="E148" s="1">
        <v>135</v>
      </c>
      <c r="F148" s="1">
        <f t="shared" si="10"/>
        <v>1.0957716832786542E-2</v>
      </c>
      <c r="G148" s="1">
        <f t="shared" si="11"/>
        <v>1.5220536451007524E-4</v>
      </c>
      <c r="P148" s="10">
        <v>45800</v>
      </c>
      <c r="Q148" s="11">
        <v>529.25</v>
      </c>
      <c r="R148" s="1">
        <f t="shared" si="12"/>
        <v>-2.0125157372435764E-2</v>
      </c>
    </row>
    <row r="149" spans="1:18" ht="19" x14ac:dyDescent="0.25">
      <c r="A149" s="5">
        <v>45800</v>
      </c>
      <c r="B149" s="1">
        <v>160.66</v>
      </c>
      <c r="C149" s="1">
        <f t="shared" si="13"/>
        <v>-1.6166564605021524E-2</v>
      </c>
      <c r="D149" s="1">
        <f t="shared" si="14"/>
        <v>2.1865914302744688E-4</v>
      </c>
      <c r="E149" s="1">
        <v>136</v>
      </c>
      <c r="F149" s="1">
        <f t="shared" si="10"/>
        <v>-1.6166564605021524E-2</v>
      </c>
      <c r="G149" s="1">
        <f t="shared" si="11"/>
        <v>2.1865914302744688E-4</v>
      </c>
      <c r="P149" s="10">
        <v>45799</v>
      </c>
      <c r="Q149" s="11">
        <v>532.85</v>
      </c>
      <c r="R149" s="1">
        <f t="shared" si="12"/>
        <v>6.802078412848413E-3</v>
      </c>
    </row>
    <row r="150" spans="1:18" ht="19" x14ac:dyDescent="0.25">
      <c r="A150" s="5">
        <v>45799</v>
      </c>
      <c r="B150" s="1">
        <v>162.69</v>
      </c>
      <c r="C150" s="1">
        <f t="shared" si="13"/>
        <v>1.2635379061371849E-2</v>
      </c>
      <c r="D150" s="1">
        <f t="shared" si="14"/>
        <v>1.9641506902533278E-4</v>
      </c>
      <c r="E150" s="1">
        <v>137</v>
      </c>
      <c r="F150" s="1">
        <f t="shared" si="10"/>
        <v>1.2635379061371849E-2</v>
      </c>
      <c r="G150" s="1">
        <f t="shared" si="11"/>
        <v>1.9641506902533278E-4</v>
      </c>
      <c r="P150" s="10">
        <v>45798</v>
      </c>
      <c r="Q150" s="11">
        <v>532.6</v>
      </c>
      <c r="R150" s="1">
        <f t="shared" si="12"/>
        <v>-4.6917519001595193E-4</v>
      </c>
    </row>
    <row r="151" spans="1:18" ht="19" x14ac:dyDescent="0.25">
      <c r="A151" s="5">
        <v>45798</v>
      </c>
      <c r="B151" s="1">
        <v>163.28</v>
      </c>
      <c r="C151" s="1">
        <f t="shared" si="13"/>
        <v>3.6265289814985764E-3</v>
      </c>
      <c r="D151" s="1">
        <f t="shared" si="14"/>
        <v>2.5059695333356125E-5</v>
      </c>
      <c r="E151" s="1">
        <v>138</v>
      </c>
      <c r="F151" s="1">
        <f t="shared" si="10"/>
        <v>3.6265289814985764E-3</v>
      </c>
      <c r="G151" s="1">
        <f t="shared" si="11"/>
        <v>2.5059695333356125E-5</v>
      </c>
      <c r="P151" s="10">
        <v>45797</v>
      </c>
      <c r="Q151" s="11">
        <v>541.65</v>
      </c>
      <c r="R151" s="1">
        <f t="shared" si="12"/>
        <v>1.6992114156965742E-2</v>
      </c>
    </row>
    <row r="152" spans="1:18" ht="19" x14ac:dyDescent="0.25">
      <c r="A152" s="5">
        <v>45797</v>
      </c>
      <c r="B152" s="1">
        <v>168.66</v>
      </c>
      <c r="C152" s="1">
        <f t="shared" si="13"/>
        <v>3.2949534541891201E-2</v>
      </c>
      <c r="D152" s="1">
        <f t="shared" si="14"/>
        <v>1.178478286612639E-3</v>
      </c>
      <c r="E152" s="1">
        <v>139</v>
      </c>
      <c r="F152" s="1">
        <f t="shared" si="10"/>
        <v>3.2949534541891201E-2</v>
      </c>
      <c r="G152" s="1">
        <f t="shared" si="11"/>
        <v>1.178478286612639E-3</v>
      </c>
      <c r="P152" s="10">
        <v>45796</v>
      </c>
      <c r="Q152" s="11">
        <v>543.58000000000004</v>
      </c>
      <c r="R152" s="1">
        <f t="shared" si="12"/>
        <v>3.5631865595865666E-3</v>
      </c>
    </row>
    <row r="153" spans="1:18" ht="19" x14ac:dyDescent="0.25">
      <c r="A153" s="5">
        <v>45796</v>
      </c>
      <c r="B153" s="1">
        <v>170.66</v>
      </c>
      <c r="C153" s="1">
        <f t="shared" si="13"/>
        <v>1.1858176212498519E-2</v>
      </c>
      <c r="D153" s="1">
        <f t="shared" si="14"/>
        <v>1.7523440336653838E-4</v>
      </c>
      <c r="E153" s="1">
        <v>140</v>
      </c>
      <c r="F153" s="1">
        <f t="shared" si="10"/>
        <v>1.1858176212498519E-2</v>
      </c>
      <c r="G153" s="1">
        <f t="shared" si="11"/>
        <v>1.7523440336653838E-4</v>
      </c>
      <c r="P153" s="10">
        <v>45793</v>
      </c>
      <c r="Q153" s="11">
        <v>543.03</v>
      </c>
      <c r="R153" s="1">
        <f t="shared" si="12"/>
        <v>-1.0118105890578538E-3</v>
      </c>
    </row>
    <row r="154" spans="1:18" ht="19" x14ac:dyDescent="0.25">
      <c r="A154" s="5">
        <v>45793</v>
      </c>
      <c r="B154" s="1">
        <v>170.33</v>
      </c>
      <c r="C154" s="1">
        <f t="shared" si="13"/>
        <v>-1.9336692839563114E-3</v>
      </c>
      <c r="D154" s="1">
        <f t="shared" si="14"/>
        <v>3.0717343283483231E-7</v>
      </c>
      <c r="E154" s="1">
        <v>141</v>
      </c>
      <c r="F154" s="1">
        <f t="shared" si="10"/>
        <v>-1.9336692839563114E-3</v>
      </c>
      <c r="G154" s="1">
        <f t="shared" si="11"/>
        <v>3.0717343283483231E-7</v>
      </c>
      <c r="P154" s="10">
        <v>45792</v>
      </c>
      <c r="Q154" s="11">
        <v>539.54999999999995</v>
      </c>
      <c r="R154" s="1">
        <f t="shared" si="12"/>
        <v>-6.4084857190210825E-3</v>
      </c>
    </row>
    <row r="155" spans="1:18" ht="19" x14ac:dyDescent="0.25">
      <c r="A155" s="5">
        <v>45792</v>
      </c>
      <c r="B155" s="1">
        <v>168.99</v>
      </c>
      <c r="C155" s="1">
        <f t="shared" si="13"/>
        <v>-7.8670815475841201E-3</v>
      </c>
      <c r="D155" s="1">
        <f t="shared" si="14"/>
        <v>4.208953187243275E-5</v>
      </c>
      <c r="E155" s="1">
        <v>142</v>
      </c>
      <c r="F155" s="1">
        <f t="shared" si="10"/>
        <v>-7.8670815475841201E-3</v>
      </c>
      <c r="G155" s="1">
        <f t="shared" si="11"/>
        <v>4.208953187243275E-5</v>
      </c>
      <c r="P155" s="10">
        <v>45791</v>
      </c>
      <c r="Q155" s="11">
        <v>536.91</v>
      </c>
      <c r="R155" s="1">
        <f t="shared" si="12"/>
        <v>-4.8929663608562445E-3</v>
      </c>
    </row>
    <row r="156" spans="1:18" ht="19" x14ac:dyDescent="0.25">
      <c r="A156" s="5">
        <v>45791</v>
      </c>
      <c r="B156" s="1">
        <v>170.7</v>
      </c>
      <c r="C156" s="1">
        <f t="shared" si="13"/>
        <v>1.0118941949227644E-2</v>
      </c>
      <c r="D156" s="1">
        <f t="shared" si="14"/>
        <v>1.3221271828877071E-4</v>
      </c>
      <c r="E156" s="1">
        <v>143</v>
      </c>
      <c r="F156" s="1">
        <f t="shared" si="10"/>
        <v>1.0118941949227644E-2</v>
      </c>
      <c r="G156" s="1">
        <f t="shared" si="11"/>
        <v>1.3221271828877071E-4</v>
      </c>
      <c r="P156" s="10">
        <v>45790</v>
      </c>
      <c r="Q156" s="11">
        <v>536.25</v>
      </c>
      <c r="R156" s="1">
        <f t="shared" si="12"/>
        <v>-1.2292562999384779E-3</v>
      </c>
    </row>
    <row r="157" spans="1:18" ht="19" x14ac:dyDescent="0.25">
      <c r="A157" s="5">
        <v>45790</v>
      </c>
      <c r="B157" s="1">
        <v>170.39</v>
      </c>
      <c r="C157" s="1">
        <f t="shared" si="13"/>
        <v>-1.8160515524311793E-3</v>
      </c>
      <c r="D157" s="1">
        <f t="shared" si="14"/>
        <v>1.9063227389814185E-7</v>
      </c>
      <c r="E157" s="1">
        <v>144</v>
      </c>
      <c r="F157" s="1">
        <f t="shared" si="10"/>
        <v>-1.8160515524311793E-3</v>
      </c>
      <c r="G157" s="1">
        <f t="shared" si="11"/>
        <v>1.9063227389814185E-7</v>
      </c>
      <c r="P157" s="10">
        <v>45789</v>
      </c>
      <c r="Q157" s="11">
        <v>532.75</v>
      </c>
      <c r="R157" s="1">
        <f t="shared" si="12"/>
        <v>-6.5268065268065268E-3</v>
      </c>
    </row>
    <row r="158" spans="1:18" ht="19" x14ac:dyDescent="0.25">
      <c r="A158" s="5">
        <v>45789</v>
      </c>
      <c r="B158" s="1">
        <v>175.09</v>
      </c>
      <c r="C158" s="1">
        <f t="shared" si="13"/>
        <v>2.7583778390750734E-2</v>
      </c>
      <c r="D158" s="1">
        <f t="shared" si="14"/>
        <v>8.3886784533960721E-4</v>
      </c>
      <c r="E158" s="1">
        <v>145</v>
      </c>
      <c r="F158" s="1">
        <f t="shared" si="10"/>
        <v>2.7583778390750734E-2</v>
      </c>
      <c r="G158" s="1">
        <f t="shared" si="11"/>
        <v>8.3886784533960721E-4</v>
      </c>
      <c r="P158" s="10">
        <v>45786</v>
      </c>
      <c r="Q158" s="11">
        <v>515.58000000000004</v>
      </c>
      <c r="R158" s="1">
        <f t="shared" si="12"/>
        <v>-3.2229000469263178E-2</v>
      </c>
    </row>
    <row r="159" spans="1:18" ht="19" x14ac:dyDescent="0.25">
      <c r="A159" s="5">
        <v>45786</v>
      </c>
      <c r="B159" s="1">
        <v>157.4</v>
      </c>
      <c r="C159" s="1">
        <f t="shared" si="13"/>
        <v>-0.10103375406933575</v>
      </c>
      <c r="D159" s="1">
        <f t="shared" si="14"/>
        <v>9.9309829120400733E-3</v>
      </c>
      <c r="E159" s="1">
        <v>146</v>
      </c>
      <c r="F159" s="1">
        <f t="shared" si="10"/>
        <v>-0.10103375406933575</v>
      </c>
      <c r="G159" s="1">
        <f t="shared" si="11"/>
        <v>9.9309829120400733E-3</v>
      </c>
      <c r="P159" s="10">
        <v>45785</v>
      </c>
      <c r="Q159" s="11">
        <v>516.27</v>
      </c>
      <c r="R159" s="1">
        <f t="shared" si="12"/>
        <v>1.338298615151753E-3</v>
      </c>
    </row>
    <row r="160" spans="1:18" ht="19" x14ac:dyDescent="0.25">
      <c r="A160" s="5">
        <v>45785</v>
      </c>
      <c r="B160" s="1">
        <v>159.22999999999999</v>
      </c>
      <c r="C160" s="1">
        <f t="shared" si="13"/>
        <v>1.1626429479034205E-2</v>
      </c>
      <c r="D160" s="1">
        <f t="shared" si="14"/>
        <v>1.6915256267674054E-4</v>
      </c>
      <c r="E160" s="1">
        <v>147</v>
      </c>
      <c r="F160" s="1">
        <f t="shared" si="10"/>
        <v>1.1626429479034205E-2</v>
      </c>
      <c r="G160" s="1">
        <f t="shared" si="11"/>
        <v>1.6915256267674054E-4</v>
      </c>
      <c r="P160" s="10">
        <v>45784</v>
      </c>
      <c r="Q160" s="11">
        <v>512.85</v>
      </c>
      <c r="R160" s="1">
        <f t="shared" si="12"/>
        <v>-6.6244406996338332E-3</v>
      </c>
    </row>
    <row r="161" spans="1:18" ht="19" x14ac:dyDescent="0.25">
      <c r="A161" s="5">
        <v>45784</v>
      </c>
      <c r="B161" s="1">
        <v>154.72999999999999</v>
      </c>
      <c r="C161" s="1">
        <f t="shared" si="13"/>
        <v>-2.8261006091816872E-2</v>
      </c>
      <c r="D161" s="1">
        <f t="shared" si="14"/>
        <v>7.2261875723853052E-4</v>
      </c>
      <c r="E161" s="1">
        <v>148</v>
      </c>
      <c r="F161" s="1">
        <f t="shared" si="10"/>
        <v>-2.8261006091816872E-2</v>
      </c>
      <c r="G161" s="1">
        <f t="shared" si="11"/>
        <v>7.2261875723853052E-4</v>
      </c>
      <c r="P161" s="10">
        <v>45783</v>
      </c>
      <c r="Q161" s="11">
        <v>510.54</v>
      </c>
      <c r="R161" s="1">
        <f t="shared" si="12"/>
        <v>-4.504241006142151E-3</v>
      </c>
    </row>
    <row r="162" spans="1:18" ht="19" x14ac:dyDescent="0.25">
      <c r="A162" s="5">
        <v>45783</v>
      </c>
      <c r="B162" s="1">
        <v>152.5</v>
      </c>
      <c r="C162" s="1">
        <f t="shared" si="13"/>
        <v>-1.4412201900083951E-2</v>
      </c>
      <c r="D162" s="1">
        <f t="shared" si="14"/>
        <v>1.6985296113498596E-4</v>
      </c>
      <c r="E162" s="1">
        <v>149</v>
      </c>
      <c r="F162" s="1">
        <f t="shared" si="10"/>
        <v>-1.4412201900083951E-2</v>
      </c>
      <c r="G162" s="1">
        <f t="shared" si="11"/>
        <v>1.6985296113498596E-4</v>
      </c>
      <c r="P162" s="10">
        <v>45782</v>
      </c>
      <c r="Q162" s="11">
        <v>514.91999999999996</v>
      </c>
      <c r="R162" s="1">
        <f t="shared" si="12"/>
        <v>8.5791514866610623E-3</v>
      </c>
    </row>
    <row r="163" spans="1:18" ht="19" x14ac:dyDescent="0.25">
      <c r="A163" s="5">
        <v>45782</v>
      </c>
      <c r="B163" s="1">
        <v>155.36000000000001</v>
      </c>
      <c r="C163" s="1">
        <f t="shared" si="13"/>
        <v>1.8754098360655828E-2</v>
      </c>
      <c r="D163" s="1">
        <f t="shared" si="14"/>
        <v>4.0535924581888553E-4</v>
      </c>
      <c r="E163" s="1">
        <v>150</v>
      </c>
      <c r="F163" s="1">
        <f t="shared" si="10"/>
        <v>1.8754098360655828E-2</v>
      </c>
      <c r="G163" s="1">
        <f t="shared" si="11"/>
        <v>4.0535924581888553E-4</v>
      </c>
      <c r="P163" s="10">
        <v>45779</v>
      </c>
      <c r="Q163" s="11">
        <v>517.63</v>
      </c>
      <c r="R163" s="1">
        <f t="shared" si="12"/>
        <v>5.2629534685000321E-3</v>
      </c>
    </row>
    <row r="164" spans="1:18" ht="19" x14ac:dyDescent="0.25">
      <c r="A164" s="5">
        <v>45779</v>
      </c>
      <c r="B164" s="1">
        <v>157.13</v>
      </c>
      <c r="C164" s="1">
        <f t="shared" si="13"/>
        <v>1.1392893923789789E-2</v>
      </c>
      <c r="D164" s="1">
        <f t="shared" si="14"/>
        <v>1.6313243703655045E-4</v>
      </c>
      <c r="E164" s="1">
        <v>151</v>
      </c>
      <c r="F164" s="1">
        <f t="shared" si="10"/>
        <v>1.1392893923789789E-2</v>
      </c>
      <c r="G164" s="1">
        <f t="shared" si="11"/>
        <v>1.6313243703655045E-4</v>
      </c>
      <c r="P164" s="10">
        <v>45778</v>
      </c>
      <c r="Q164" s="11">
        <v>510.31</v>
      </c>
      <c r="R164" s="1">
        <f t="shared" si="12"/>
        <v>-1.4141375113498045E-2</v>
      </c>
    </row>
    <row r="165" spans="1:18" ht="19" x14ac:dyDescent="0.25">
      <c r="A165" s="5">
        <v>45778</v>
      </c>
      <c r="B165" s="1">
        <v>149.72</v>
      </c>
      <c r="C165" s="1">
        <f t="shared" si="13"/>
        <v>-4.7158403869407478E-2</v>
      </c>
      <c r="D165" s="1">
        <f t="shared" si="14"/>
        <v>2.0957138083121944E-3</v>
      </c>
      <c r="E165" s="1">
        <v>152</v>
      </c>
      <c r="F165" s="1">
        <f t="shared" si="10"/>
        <v>-4.7158403869407478E-2</v>
      </c>
      <c r="G165" s="1">
        <f t="shared" si="11"/>
        <v>2.0957138083121944E-3</v>
      </c>
      <c r="P165" s="10">
        <v>45777</v>
      </c>
      <c r="Q165" s="11">
        <v>506.72</v>
      </c>
      <c r="R165" s="1">
        <f t="shared" si="12"/>
        <v>-7.0349395465500869E-3</v>
      </c>
    </row>
    <row r="166" spans="1:18" ht="19" x14ac:dyDescent="0.25">
      <c r="A166" s="5">
        <v>45777</v>
      </c>
      <c r="B166" s="1">
        <v>152.43</v>
      </c>
      <c r="C166" s="1">
        <f t="shared" si="13"/>
        <v>1.8100454181138179E-2</v>
      </c>
      <c r="D166" s="1">
        <f t="shared" si="14"/>
        <v>3.794661601388281E-4</v>
      </c>
      <c r="E166" s="1">
        <v>153</v>
      </c>
      <c r="F166" s="1">
        <f t="shared" si="10"/>
        <v>1.8100454181138179E-2</v>
      </c>
      <c r="G166" s="1">
        <f t="shared" si="11"/>
        <v>3.794661601388281E-4</v>
      </c>
      <c r="P166" s="10">
        <v>45776</v>
      </c>
      <c r="Q166" s="11">
        <v>506.47</v>
      </c>
      <c r="R166" s="1">
        <f t="shared" si="12"/>
        <v>-4.9336911904010103E-4</v>
      </c>
    </row>
    <row r="167" spans="1:18" ht="19" x14ac:dyDescent="0.25">
      <c r="A167" s="5">
        <v>45776</v>
      </c>
      <c r="B167" s="1">
        <v>148.82</v>
      </c>
      <c r="C167" s="1">
        <f t="shared" si="13"/>
        <v>-2.3683002033720486E-2</v>
      </c>
      <c r="D167" s="1">
        <f t="shared" si="14"/>
        <v>4.9744901354561522E-4</v>
      </c>
      <c r="E167" s="1">
        <v>154</v>
      </c>
      <c r="F167" s="1">
        <f t="shared" si="10"/>
        <v>-2.3683002033720486E-2</v>
      </c>
      <c r="G167" s="1">
        <f t="shared" si="11"/>
        <v>4.9744901354561522E-4</v>
      </c>
      <c r="P167" s="10">
        <v>45775</v>
      </c>
      <c r="Q167" s="11">
        <v>503.42</v>
      </c>
      <c r="R167" s="1">
        <f t="shared" si="12"/>
        <v>-6.0220743578099619E-3</v>
      </c>
    </row>
    <row r="168" spans="1:18" ht="19" x14ac:dyDescent="0.25">
      <c r="A168" s="5">
        <v>45775</v>
      </c>
      <c r="B168" s="1">
        <v>148.16999999999999</v>
      </c>
      <c r="C168" s="1">
        <f t="shared" si="13"/>
        <v>-4.3676925144470217E-3</v>
      </c>
      <c r="D168" s="1">
        <f t="shared" si="14"/>
        <v>8.9296710641337087E-6</v>
      </c>
      <c r="E168" s="1">
        <v>155</v>
      </c>
      <c r="F168" s="1">
        <f t="shared" si="10"/>
        <v>-4.3676925144470217E-3</v>
      </c>
      <c r="G168" s="1">
        <f t="shared" si="11"/>
        <v>8.9296710641337087E-6</v>
      </c>
      <c r="P168" s="10">
        <v>45772</v>
      </c>
      <c r="Q168" s="11">
        <v>503.11</v>
      </c>
      <c r="R168" s="1">
        <f t="shared" si="12"/>
        <v>-6.1578801001152571E-4</v>
      </c>
    </row>
    <row r="169" spans="1:18" ht="19" x14ac:dyDescent="0.25">
      <c r="A169" s="5">
        <v>45772</v>
      </c>
      <c r="B169" s="1">
        <v>145.91999999999999</v>
      </c>
      <c r="C169" s="1">
        <f t="shared" si="13"/>
        <v>-1.5185260174124318E-2</v>
      </c>
      <c r="D169" s="1">
        <f t="shared" si="14"/>
        <v>1.9060075372082864E-4</v>
      </c>
      <c r="E169" s="1">
        <v>156</v>
      </c>
      <c r="F169" s="1">
        <f t="shared" si="10"/>
        <v>-1.5185260174124318E-2</v>
      </c>
      <c r="G169" s="1">
        <f t="shared" si="11"/>
        <v>1.9060075372082864E-4</v>
      </c>
      <c r="P169" s="10">
        <v>45771</v>
      </c>
      <c r="Q169" s="11">
        <v>499.44</v>
      </c>
      <c r="R169" s="1">
        <f t="shared" si="12"/>
        <v>-7.294627417463409E-3</v>
      </c>
    </row>
    <row r="170" spans="1:18" ht="19" x14ac:dyDescent="0.25">
      <c r="A170" s="5">
        <v>45771</v>
      </c>
      <c r="B170" s="1">
        <v>158.02000000000001</v>
      </c>
      <c r="C170" s="1">
        <f t="shared" si="13"/>
        <v>8.2922149122807182E-2</v>
      </c>
      <c r="D170" s="1">
        <f t="shared" si="14"/>
        <v>7.1067574215653876E-3</v>
      </c>
      <c r="E170" s="1">
        <v>157</v>
      </c>
      <c r="F170" s="1">
        <f t="shared" si="10"/>
        <v>8.2922149122807182E-2</v>
      </c>
      <c r="G170" s="1">
        <f t="shared" si="11"/>
        <v>7.1067574215653876E-3</v>
      </c>
      <c r="P170" s="10">
        <v>45770</v>
      </c>
      <c r="Q170" s="11">
        <v>489.16</v>
      </c>
      <c r="R170" s="1">
        <f t="shared" si="12"/>
        <v>-2.0583053019381653E-2</v>
      </c>
    </row>
    <row r="171" spans="1:18" ht="19" x14ac:dyDescent="0.25">
      <c r="A171" s="5">
        <v>45770</v>
      </c>
      <c r="B171" s="1">
        <v>152.38</v>
      </c>
      <c r="C171" s="1">
        <f t="shared" si="13"/>
        <v>-3.5691684596886562E-2</v>
      </c>
      <c r="D171" s="1">
        <f t="shared" si="14"/>
        <v>1.1773303356611355E-3</v>
      </c>
      <c r="E171" s="1">
        <v>158</v>
      </c>
      <c r="F171" s="1">
        <f t="shared" si="10"/>
        <v>-3.5691684596886562E-2</v>
      </c>
      <c r="G171" s="1">
        <f t="shared" si="11"/>
        <v>1.1773303356611355E-3</v>
      </c>
      <c r="P171" s="10">
        <v>45769</v>
      </c>
      <c r="Q171" s="11">
        <v>481.42</v>
      </c>
      <c r="R171" s="1">
        <f t="shared" si="12"/>
        <v>-1.5823043584921107E-2</v>
      </c>
    </row>
    <row r="172" spans="1:18" ht="19" x14ac:dyDescent="0.25">
      <c r="A172" s="5">
        <v>45769</v>
      </c>
      <c r="B172" s="1">
        <v>151.22999999999999</v>
      </c>
      <c r="C172" s="1">
        <f t="shared" si="13"/>
        <v>-7.546922168263589E-3</v>
      </c>
      <c r="D172" s="1">
        <f t="shared" si="14"/>
        <v>3.8037873392617298E-5</v>
      </c>
      <c r="E172" s="1">
        <v>159</v>
      </c>
      <c r="F172" s="1">
        <f t="shared" si="10"/>
        <v>-7.546922168263589E-3</v>
      </c>
      <c r="G172" s="1">
        <f t="shared" si="11"/>
        <v>3.8037873392617298E-5</v>
      </c>
      <c r="P172" s="10">
        <v>45768</v>
      </c>
      <c r="Q172" s="11">
        <v>469.57</v>
      </c>
      <c r="R172" s="1">
        <f t="shared" si="12"/>
        <v>-2.4614681567030915E-2</v>
      </c>
    </row>
    <row r="173" spans="1:18" ht="19" x14ac:dyDescent="0.25">
      <c r="A173" s="5">
        <v>45768</v>
      </c>
      <c r="B173" s="1">
        <v>149.04</v>
      </c>
      <c r="C173" s="1">
        <f t="shared" si="13"/>
        <v>-1.4481253719500086E-2</v>
      </c>
      <c r="D173" s="1">
        <f t="shared" si="14"/>
        <v>1.7165760154652624E-4</v>
      </c>
      <c r="E173" s="1">
        <v>160</v>
      </c>
      <c r="F173" s="1">
        <f t="shared" si="10"/>
        <v>-1.4481253719500086E-2</v>
      </c>
      <c r="G173" s="1">
        <f t="shared" si="11"/>
        <v>1.7165760154652624E-4</v>
      </c>
      <c r="P173" s="10">
        <v>45764</v>
      </c>
      <c r="Q173" s="11">
        <v>481.03</v>
      </c>
      <c r="R173" s="1">
        <f t="shared" si="12"/>
        <v>2.440530698298439E-2</v>
      </c>
    </row>
    <row r="174" spans="1:18" ht="19" x14ac:dyDescent="0.25">
      <c r="A174" s="5">
        <v>45764</v>
      </c>
      <c r="B174" s="1">
        <v>152.9</v>
      </c>
      <c r="C174" s="1">
        <f t="shared" si="13"/>
        <v>2.5899087493290486E-2</v>
      </c>
      <c r="D174" s="1">
        <f t="shared" si="14"/>
        <v>7.4411789812472984E-4</v>
      </c>
      <c r="E174" s="1">
        <v>161</v>
      </c>
      <c r="F174" s="1">
        <f t="shared" si="10"/>
        <v>2.5899087493290486E-2</v>
      </c>
      <c r="G174" s="1">
        <f t="shared" si="11"/>
        <v>7.4411789812472984E-4</v>
      </c>
      <c r="P174" s="10">
        <v>45763</v>
      </c>
      <c r="Q174" s="11">
        <v>480.37</v>
      </c>
      <c r="R174" s="1">
        <f t="shared" si="12"/>
        <v>-1.3720557969356759E-3</v>
      </c>
    </row>
    <row r="175" spans="1:18" ht="19" x14ac:dyDescent="0.25">
      <c r="A175" s="5">
        <v>45763</v>
      </c>
      <c r="B175" s="1">
        <v>147.03</v>
      </c>
      <c r="C175" s="1">
        <f t="shared" si="13"/>
        <v>-3.8391105297580143E-2</v>
      </c>
      <c r="D175" s="1">
        <f t="shared" si="14"/>
        <v>1.3698635907213952E-3</v>
      </c>
      <c r="E175" s="1">
        <v>162</v>
      </c>
      <c r="F175" s="1">
        <f t="shared" si="10"/>
        <v>-3.8391105297580143E-2</v>
      </c>
      <c r="G175" s="1">
        <f t="shared" si="11"/>
        <v>1.3698635907213952E-3</v>
      </c>
      <c r="P175" s="10">
        <v>45762</v>
      </c>
      <c r="Q175" s="11">
        <v>491.16</v>
      </c>
      <c r="R175" s="1">
        <f t="shared" si="12"/>
        <v>2.2461852322168369E-2</v>
      </c>
    </row>
    <row r="176" spans="1:18" ht="19" x14ac:dyDescent="0.25">
      <c r="A176" s="5">
        <v>45762</v>
      </c>
      <c r="B176" s="1">
        <v>152</v>
      </c>
      <c r="C176" s="1">
        <f t="shared" si="13"/>
        <v>3.3802625314561643E-2</v>
      </c>
      <c r="D176" s="1">
        <f t="shared" si="14"/>
        <v>1.2377775081816548E-3</v>
      </c>
      <c r="E176" s="1">
        <v>163</v>
      </c>
      <c r="F176" s="1">
        <f t="shared" si="10"/>
        <v>3.3802625314561643E-2</v>
      </c>
      <c r="G176" s="1">
        <f t="shared" si="11"/>
        <v>1.2377775081816548E-3</v>
      </c>
      <c r="P176" s="10">
        <v>45761</v>
      </c>
      <c r="Q176" s="11">
        <v>492.55</v>
      </c>
      <c r="R176" s="1">
        <f t="shared" si="12"/>
        <v>2.8300350191383383E-3</v>
      </c>
    </row>
    <row r="177" spans="1:18" ht="19" x14ac:dyDescent="0.25">
      <c r="A177" s="5">
        <v>45761</v>
      </c>
      <c r="B177" s="1">
        <v>154.25</v>
      </c>
      <c r="C177" s="1">
        <f t="shared" si="13"/>
        <v>1.4802631578947368E-2</v>
      </c>
      <c r="D177" s="1">
        <f t="shared" si="14"/>
        <v>2.6185934325272044E-4</v>
      </c>
      <c r="E177" s="1">
        <v>164</v>
      </c>
      <c r="F177" s="1">
        <f t="shared" si="10"/>
        <v>1.4802631578947368E-2</v>
      </c>
      <c r="G177" s="1">
        <f t="shared" si="11"/>
        <v>2.6185934325272044E-4</v>
      </c>
      <c r="P177" s="10">
        <v>45758</v>
      </c>
      <c r="Q177" s="11">
        <v>487.65</v>
      </c>
      <c r="R177" s="1">
        <f t="shared" si="12"/>
        <v>-9.9482286062329388E-3</v>
      </c>
    </row>
    <row r="178" spans="1:18" ht="19" x14ac:dyDescent="0.25">
      <c r="A178" s="5">
        <v>45758</v>
      </c>
      <c r="B178" s="1">
        <v>151.38</v>
      </c>
      <c r="C178" s="1">
        <f t="shared" si="13"/>
        <v>-1.8606158833063238E-2</v>
      </c>
      <c r="D178" s="1">
        <f t="shared" si="14"/>
        <v>2.9675994537033313E-4</v>
      </c>
      <c r="E178" s="1">
        <v>165</v>
      </c>
      <c r="F178" s="1">
        <f t="shared" si="10"/>
        <v>-1.8606158833063238E-2</v>
      </c>
      <c r="G178" s="1">
        <f t="shared" si="11"/>
        <v>2.9675994537033313E-4</v>
      </c>
      <c r="P178" s="10">
        <v>45757</v>
      </c>
      <c r="Q178" s="11">
        <v>479.21</v>
      </c>
      <c r="R178" s="1">
        <f t="shared" si="12"/>
        <v>-1.7307495129703677E-2</v>
      </c>
    </row>
    <row r="179" spans="1:18" ht="19" x14ac:dyDescent="0.25">
      <c r="A179" s="5">
        <v>45757</v>
      </c>
      <c r="B179" s="1">
        <v>155.88</v>
      </c>
      <c r="C179" s="1">
        <f t="shared" si="13"/>
        <v>2.9726516052318668E-2</v>
      </c>
      <c r="D179" s="1">
        <f t="shared" si="14"/>
        <v>9.675803148297236E-4</v>
      </c>
      <c r="E179" s="1">
        <v>166</v>
      </c>
      <c r="F179" s="1">
        <f t="shared" si="10"/>
        <v>2.9726516052318668E-2</v>
      </c>
      <c r="G179" s="1">
        <f t="shared" si="11"/>
        <v>9.675803148297236E-4</v>
      </c>
      <c r="P179" s="10">
        <v>45756</v>
      </c>
      <c r="Q179" s="11">
        <v>496.14</v>
      </c>
      <c r="R179" s="1">
        <f t="shared" si="12"/>
        <v>3.5328978944512861E-2</v>
      </c>
    </row>
    <row r="180" spans="1:18" ht="19" x14ac:dyDescent="0.25">
      <c r="A180" s="5">
        <v>45756</v>
      </c>
      <c r="B180" s="1">
        <v>164.57</v>
      </c>
      <c r="C180" s="1">
        <f t="shared" si="13"/>
        <v>5.5748011290736449E-2</v>
      </c>
      <c r="D180" s="1">
        <f t="shared" si="14"/>
        <v>3.2635453473598419E-3</v>
      </c>
      <c r="E180" s="1">
        <v>167</v>
      </c>
      <c r="F180" s="1">
        <f t="shared" si="10"/>
        <v>5.5748011290736449E-2</v>
      </c>
      <c r="G180" s="1">
        <f t="shared" si="11"/>
        <v>3.2635453473598419E-3</v>
      </c>
      <c r="P180" s="10">
        <v>45755</v>
      </c>
      <c r="Q180" s="11">
        <v>454.04</v>
      </c>
      <c r="R180" s="1">
        <f t="shared" si="12"/>
        <v>-8.4855081227072943E-2</v>
      </c>
    </row>
    <row r="181" spans="1:18" ht="19" x14ac:dyDescent="0.25">
      <c r="A181" s="5">
        <v>45755</v>
      </c>
      <c r="B181" s="1">
        <v>147.52000000000001</v>
      </c>
      <c r="C181" s="1">
        <f t="shared" si="13"/>
        <v>-0.1036033298900163</v>
      </c>
      <c r="D181" s="1">
        <f t="shared" si="14"/>
        <v>1.0449724279112171E-2</v>
      </c>
      <c r="E181" s="1">
        <v>168</v>
      </c>
      <c r="F181" s="1">
        <f t="shared" si="10"/>
        <v>-0.1036033298900163</v>
      </c>
      <c r="G181" s="1">
        <f t="shared" si="11"/>
        <v>1.0449724279112171E-2</v>
      </c>
      <c r="P181" s="10">
        <v>45754</v>
      </c>
      <c r="Q181" s="11">
        <v>460.82</v>
      </c>
      <c r="R181" s="1">
        <f t="shared" si="12"/>
        <v>1.4932605056823126E-2</v>
      </c>
    </row>
    <row r="182" spans="1:18" ht="19" x14ac:dyDescent="0.25">
      <c r="A182" s="5">
        <v>45754</v>
      </c>
      <c r="B182" s="1">
        <v>150.57</v>
      </c>
      <c r="C182" s="1">
        <f t="shared" si="13"/>
        <v>2.0675162689804655E-2</v>
      </c>
      <c r="D182" s="1">
        <f t="shared" si="14"/>
        <v>4.8640536714902389E-4</v>
      </c>
      <c r="E182" s="1">
        <v>169</v>
      </c>
      <c r="F182" s="1">
        <f t="shared" si="10"/>
        <v>2.0675162689804655E-2</v>
      </c>
      <c r="G182" s="1">
        <f t="shared" si="11"/>
        <v>4.8640536714902389E-4</v>
      </c>
      <c r="P182" s="10">
        <v>45751</v>
      </c>
      <c r="Q182" s="11">
        <v>462.76</v>
      </c>
      <c r="R182" s="1">
        <f t="shared" si="12"/>
        <v>4.2098867236665029E-3</v>
      </c>
    </row>
    <row r="183" spans="1:18" ht="19" x14ac:dyDescent="0.25">
      <c r="A183" s="5">
        <v>45751</v>
      </c>
      <c r="B183" s="1">
        <v>151.22</v>
      </c>
      <c r="C183" s="1">
        <f t="shared" si="13"/>
        <v>4.3169290031215097E-3</v>
      </c>
      <c r="D183" s="1">
        <f t="shared" si="14"/>
        <v>3.2448585556669991E-5</v>
      </c>
      <c r="E183" s="1">
        <v>170</v>
      </c>
      <c r="F183" s="1">
        <f t="shared" si="10"/>
        <v>4.3169290031215097E-3</v>
      </c>
      <c r="G183" s="1">
        <f t="shared" si="11"/>
        <v>3.2448585556669991E-5</v>
      </c>
      <c r="P183" s="10">
        <v>45750</v>
      </c>
      <c r="Q183" s="11">
        <v>491.23</v>
      </c>
      <c r="R183" s="1">
        <f t="shared" si="12"/>
        <v>6.1522171319906706E-2</v>
      </c>
    </row>
    <row r="184" spans="1:18" ht="19" x14ac:dyDescent="0.25">
      <c r="A184" s="5">
        <v>45750</v>
      </c>
      <c r="B184" s="1">
        <v>154.88</v>
      </c>
      <c r="C184" s="1">
        <f t="shared" si="13"/>
        <v>2.4203147731781487E-2</v>
      </c>
      <c r="D184" s="1">
        <f t="shared" si="14"/>
        <v>6.5446864117772155E-4</v>
      </c>
      <c r="E184" s="1">
        <v>171</v>
      </c>
      <c r="F184" s="1">
        <f t="shared" si="10"/>
        <v>2.4203147731781487E-2</v>
      </c>
      <c r="G184" s="1">
        <f t="shared" si="11"/>
        <v>6.5446864117772155E-4</v>
      </c>
      <c r="P184" s="10">
        <v>45749</v>
      </c>
      <c r="Q184" s="11">
        <v>515.84</v>
      </c>
      <c r="R184" s="1">
        <f t="shared" si="12"/>
        <v>5.0098731754982417E-2</v>
      </c>
    </row>
    <row r="185" spans="1:18" ht="19" x14ac:dyDescent="0.25">
      <c r="A185" s="5">
        <v>45749</v>
      </c>
      <c r="B185" s="1">
        <v>169.16</v>
      </c>
      <c r="C185" s="1">
        <f t="shared" si="13"/>
        <v>9.2200413223140501E-2</v>
      </c>
      <c r="D185" s="1">
        <f t="shared" si="14"/>
        <v>8.7571883663915186E-3</v>
      </c>
      <c r="E185" s="1">
        <v>172</v>
      </c>
      <c r="F185" s="1">
        <f t="shared" si="10"/>
        <v>9.2200413223140501E-2</v>
      </c>
      <c r="G185" s="1">
        <f t="shared" si="11"/>
        <v>8.7571883663915186E-3</v>
      </c>
      <c r="P185" s="10">
        <v>45748</v>
      </c>
      <c r="Q185" s="11">
        <v>512.75</v>
      </c>
      <c r="R185" s="1">
        <f t="shared" si="12"/>
        <v>-5.9902295285360419E-3</v>
      </c>
    </row>
    <row r="186" spans="1:18" ht="19" x14ac:dyDescent="0.25">
      <c r="A186" s="5">
        <v>45748</v>
      </c>
      <c r="B186" s="1">
        <v>166.16</v>
      </c>
      <c r="C186" s="1">
        <f t="shared" si="13"/>
        <v>-1.7734689051785293E-2</v>
      </c>
      <c r="D186" s="1">
        <f t="shared" si="14"/>
        <v>2.674942699210418E-4</v>
      </c>
      <c r="E186" s="1">
        <v>173</v>
      </c>
      <c r="F186" s="1">
        <f t="shared" si="10"/>
        <v>-1.7734689051785293E-2</v>
      </c>
      <c r="G186" s="1">
        <f t="shared" si="11"/>
        <v>2.674942699210418E-4</v>
      </c>
      <c r="P186" s="10">
        <v>45747</v>
      </c>
      <c r="Q186" s="11">
        <v>510.87</v>
      </c>
      <c r="R186" s="1">
        <f t="shared" si="12"/>
        <v>-3.6665041443198353E-3</v>
      </c>
    </row>
    <row r="187" spans="1:18" ht="19" x14ac:dyDescent="0.25">
      <c r="A187" s="5">
        <v>45747</v>
      </c>
      <c r="B187" s="1">
        <v>164.53</v>
      </c>
      <c r="C187" s="1">
        <f t="shared" si="13"/>
        <v>-9.8098218584496601E-3</v>
      </c>
      <c r="D187" s="1">
        <f t="shared" si="14"/>
        <v>7.1071388987149604E-5</v>
      </c>
      <c r="E187" s="1">
        <v>174</v>
      </c>
      <c r="F187" s="1">
        <f t="shared" si="10"/>
        <v>-9.8098218584496601E-3</v>
      </c>
      <c r="G187" s="1">
        <f t="shared" si="11"/>
        <v>7.1071388987149604E-5</v>
      </c>
      <c r="P187" s="10">
        <v>45744</v>
      </c>
      <c r="Q187" s="11">
        <v>507.78</v>
      </c>
      <c r="R187" s="1">
        <f t="shared" si="12"/>
        <v>-6.0485054906336874E-3</v>
      </c>
    </row>
    <row r="188" spans="1:18" ht="19" x14ac:dyDescent="0.25">
      <c r="A188" s="5">
        <v>45744</v>
      </c>
      <c r="B188" s="1">
        <v>163.93</v>
      </c>
      <c r="C188" s="1">
        <f t="shared" si="13"/>
        <v>-3.6467513523369254E-3</v>
      </c>
      <c r="D188" s="1">
        <f t="shared" si="14"/>
        <v>5.1407144060851197E-6</v>
      </c>
      <c r="E188" s="1">
        <v>175</v>
      </c>
      <c r="F188" s="1">
        <f t="shared" si="10"/>
        <v>-3.6467513523369254E-3</v>
      </c>
      <c r="G188" s="1">
        <f t="shared" si="11"/>
        <v>5.1407144060851197E-6</v>
      </c>
      <c r="P188" s="10">
        <v>45743</v>
      </c>
      <c r="Q188" s="11">
        <v>518.12</v>
      </c>
      <c r="R188" s="1">
        <f t="shared" si="12"/>
        <v>2.0363149395407523E-2</v>
      </c>
    </row>
    <row r="189" spans="1:18" ht="19" x14ac:dyDescent="0.25">
      <c r="A189" s="5">
        <v>45743</v>
      </c>
      <c r="B189" s="1">
        <v>169.28</v>
      </c>
      <c r="C189" s="1">
        <f t="shared" si="13"/>
        <v>3.2635881168791521E-2</v>
      </c>
      <c r="D189" s="1">
        <f t="shared" si="14"/>
        <v>1.1570418696174535E-3</v>
      </c>
      <c r="E189" s="1">
        <v>176</v>
      </c>
      <c r="F189" s="1">
        <f t="shared" si="10"/>
        <v>3.2635881168791521E-2</v>
      </c>
      <c r="G189" s="1">
        <f t="shared" si="11"/>
        <v>1.1570418696174535E-3</v>
      </c>
      <c r="P189" s="10">
        <v>45742</v>
      </c>
      <c r="Q189" s="11">
        <v>519.54999999999995</v>
      </c>
      <c r="R189" s="1">
        <f t="shared" si="12"/>
        <v>2.7599783833859915E-3</v>
      </c>
    </row>
    <row r="190" spans="1:18" ht="19" x14ac:dyDescent="0.25">
      <c r="A190" s="5">
        <v>45742</v>
      </c>
      <c r="B190" s="1">
        <v>167.73</v>
      </c>
      <c r="C190" s="1">
        <f t="shared" si="13"/>
        <v>-9.1564272211720893E-3</v>
      </c>
      <c r="D190" s="1">
        <f t="shared" si="14"/>
        <v>6.0481577016046156E-5</v>
      </c>
      <c r="E190" s="1">
        <v>177</v>
      </c>
      <c r="F190" s="1">
        <f t="shared" si="10"/>
        <v>-9.1564272211720893E-3</v>
      </c>
      <c r="G190" s="1">
        <f t="shared" si="11"/>
        <v>6.0481577016046156E-5</v>
      </c>
      <c r="P190" s="10">
        <v>45741</v>
      </c>
      <c r="Q190" s="11">
        <v>525.69000000000005</v>
      </c>
      <c r="R190" s="1">
        <f t="shared" si="12"/>
        <v>1.1817919353286691E-2</v>
      </c>
    </row>
    <row r="191" spans="1:18" ht="19" x14ac:dyDescent="0.25">
      <c r="A191" s="5">
        <v>45741</v>
      </c>
      <c r="B191" s="1">
        <v>166.67</v>
      </c>
      <c r="C191" s="1">
        <f t="shared" si="13"/>
        <v>-6.3196804388004667E-3</v>
      </c>
      <c r="D191" s="1">
        <f t="shared" si="14"/>
        <v>2.440600530819699E-5</v>
      </c>
      <c r="E191" s="1">
        <v>178</v>
      </c>
      <c r="F191" s="1">
        <f t="shared" si="10"/>
        <v>-6.3196804388004667E-3</v>
      </c>
      <c r="G191" s="1">
        <f t="shared" si="11"/>
        <v>2.440600530819699E-5</v>
      </c>
      <c r="P191" s="10">
        <v>45740</v>
      </c>
      <c r="Q191" s="11">
        <v>524.44000000000005</v>
      </c>
      <c r="R191" s="1">
        <f t="shared" si="12"/>
        <v>-2.3778272365842985E-3</v>
      </c>
    </row>
    <row r="192" spans="1:18" ht="19" x14ac:dyDescent="0.25">
      <c r="A192" s="5">
        <v>45740</v>
      </c>
      <c r="B192" s="1">
        <v>169.11</v>
      </c>
      <c r="C192" s="1">
        <f t="shared" si="13"/>
        <v>1.4639707205856041E-2</v>
      </c>
      <c r="D192" s="1">
        <f t="shared" si="14"/>
        <v>2.566129808494027E-4</v>
      </c>
      <c r="E192" s="1">
        <v>179</v>
      </c>
      <c r="F192" s="1">
        <f t="shared" si="10"/>
        <v>1.4639707205856041E-2</v>
      </c>
      <c r="G192" s="1">
        <f t="shared" si="11"/>
        <v>2.566129808494027E-4</v>
      </c>
      <c r="P192" s="10">
        <v>45737</v>
      </c>
      <c r="Q192" s="11">
        <v>515.39</v>
      </c>
      <c r="R192" s="1">
        <f t="shared" si="12"/>
        <v>-1.7256502173747364E-2</v>
      </c>
    </row>
    <row r="193" spans="1:18" ht="19" x14ac:dyDescent="0.25">
      <c r="A193" s="5">
        <v>45737</v>
      </c>
      <c r="B193" s="1">
        <v>164.3</v>
      </c>
      <c r="C193" s="1">
        <f t="shared" si="13"/>
        <v>-2.8443025249837394E-2</v>
      </c>
      <c r="D193" s="1">
        <f t="shared" si="14"/>
        <v>7.3243780935985426E-4</v>
      </c>
      <c r="E193" s="1">
        <v>180</v>
      </c>
      <c r="F193" s="1">
        <f t="shared" si="10"/>
        <v>-2.8443025249837394E-2</v>
      </c>
      <c r="G193" s="1">
        <f t="shared" si="11"/>
        <v>7.3243780935985426E-4</v>
      </c>
      <c r="P193" s="10">
        <v>45736</v>
      </c>
      <c r="Q193" s="11">
        <v>515.26</v>
      </c>
      <c r="R193" s="1">
        <f t="shared" si="12"/>
        <v>-2.5223617066686484E-4</v>
      </c>
    </row>
    <row r="194" spans="1:18" ht="19" x14ac:dyDescent="0.25">
      <c r="A194" s="5">
        <v>45736</v>
      </c>
      <c r="B194" s="1">
        <v>160.24</v>
      </c>
      <c r="C194" s="1">
        <f t="shared" si="13"/>
        <v>-2.4710894704808289E-2</v>
      </c>
      <c r="D194" s="1">
        <f t="shared" si="14"/>
        <v>5.4435691897878485E-4</v>
      </c>
      <c r="E194" s="1">
        <v>181</v>
      </c>
      <c r="F194" s="1">
        <f t="shared" si="10"/>
        <v>-2.4710894704808289E-2</v>
      </c>
      <c r="G194" s="1">
        <f t="shared" si="11"/>
        <v>5.4435691897878485E-4</v>
      </c>
      <c r="P194" s="10">
        <v>45735</v>
      </c>
      <c r="Q194" s="11">
        <v>516.45000000000005</v>
      </c>
      <c r="R194" s="1">
        <f t="shared" si="12"/>
        <v>2.309513643597513E-3</v>
      </c>
    </row>
    <row r="195" spans="1:18" ht="19" x14ac:dyDescent="0.25">
      <c r="A195" s="5">
        <v>45735</v>
      </c>
      <c r="B195" s="1">
        <v>161.54</v>
      </c>
      <c r="C195" s="1">
        <f t="shared" si="13"/>
        <v>8.1128307538690901E-3</v>
      </c>
      <c r="D195" s="1">
        <f t="shared" si="14"/>
        <v>9.010314696975367E-5</v>
      </c>
      <c r="E195" s="1">
        <v>182</v>
      </c>
      <c r="F195" s="1">
        <f t="shared" si="10"/>
        <v>8.1128307538690901E-3</v>
      </c>
      <c r="G195" s="1">
        <f t="shared" si="11"/>
        <v>9.010314696975367E-5</v>
      </c>
      <c r="P195" s="10">
        <v>45734</v>
      </c>
      <c r="Q195" s="11">
        <v>511.08</v>
      </c>
      <c r="R195" s="1">
        <f t="shared" si="12"/>
        <v>-1.0397908800464829E-2</v>
      </c>
    </row>
    <row r="196" spans="1:18" ht="19" x14ac:dyDescent="0.25">
      <c r="A196" s="5">
        <v>45734</v>
      </c>
      <c r="B196" s="1">
        <v>161.18</v>
      </c>
      <c r="C196" s="1">
        <f t="shared" si="13"/>
        <v>-2.2285502042836774E-3</v>
      </c>
      <c r="D196" s="1">
        <f t="shared" si="14"/>
        <v>7.2099324633660837E-7</v>
      </c>
      <c r="E196" s="1">
        <v>183</v>
      </c>
      <c r="F196" s="1">
        <f t="shared" si="10"/>
        <v>-2.2285502042836774E-3</v>
      </c>
      <c r="G196" s="1">
        <f t="shared" si="11"/>
        <v>7.2099324633660837E-7</v>
      </c>
      <c r="P196" s="10">
        <v>45733</v>
      </c>
      <c r="Q196" s="11">
        <v>516.53</v>
      </c>
      <c r="R196" s="1">
        <f t="shared" si="12"/>
        <v>1.0663692572591353E-2</v>
      </c>
    </row>
    <row r="197" spans="1:18" ht="19" x14ac:dyDescent="0.25">
      <c r="A197" s="5">
        <v>45733</v>
      </c>
      <c r="B197" s="1">
        <v>165.2</v>
      </c>
      <c r="C197" s="1">
        <f t="shared" si="13"/>
        <v>2.4941059684824306E-2</v>
      </c>
      <c r="D197" s="1">
        <f t="shared" si="14"/>
        <v>6.9276854534379819E-4</v>
      </c>
      <c r="E197" s="1">
        <v>184</v>
      </c>
      <c r="F197" s="1">
        <f t="shared" si="10"/>
        <v>2.4941059684824306E-2</v>
      </c>
      <c r="G197" s="1">
        <f t="shared" si="11"/>
        <v>6.9276854534379819E-4</v>
      </c>
      <c r="P197" s="10">
        <v>45730</v>
      </c>
      <c r="Q197" s="11">
        <v>512.62</v>
      </c>
      <c r="R197" s="1">
        <f t="shared" si="12"/>
        <v>-7.5697442549318887E-3</v>
      </c>
    </row>
    <row r="198" spans="1:18" ht="19" x14ac:dyDescent="0.25">
      <c r="A198" s="5">
        <v>45730</v>
      </c>
      <c r="B198" s="1">
        <v>161.6</v>
      </c>
      <c r="C198" s="1">
        <f t="shared" si="13"/>
        <v>-2.1791767554479386E-2</v>
      </c>
      <c r="D198" s="1">
        <f t="shared" si="14"/>
        <v>4.1666323896937852E-4</v>
      </c>
      <c r="E198" s="1">
        <v>185</v>
      </c>
      <c r="F198" s="1">
        <f t="shared" si="10"/>
        <v>-2.1791767554479386E-2</v>
      </c>
      <c r="G198" s="1">
        <f t="shared" si="11"/>
        <v>4.1666323896937852E-4</v>
      </c>
      <c r="P198" s="10">
        <v>45729</v>
      </c>
      <c r="Q198" s="11">
        <v>502.31</v>
      </c>
      <c r="R198" s="1">
        <f t="shared" si="12"/>
        <v>-2.0112363934298313E-2</v>
      </c>
    </row>
    <row r="199" spans="1:18" ht="19" x14ac:dyDescent="0.25">
      <c r="A199" s="5">
        <v>45729</v>
      </c>
      <c r="B199" s="1">
        <v>162.07</v>
      </c>
      <c r="C199" s="1">
        <f t="shared" si="13"/>
        <v>2.9084158415841515E-3</v>
      </c>
      <c r="D199" s="1">
        <f t="shared" si="14"/>
        <v>1.8385681927212843E-5</v>
      </c>
      <c r="E199" s="1">
        <v>186</v>
      </c>
      <c r="F199" s="1">
        <f t="shared" si="10"/>
        <v>2.9084158415841515E-3</v>
      </c>
      <c r="G199" s="1">
        <f t="shared" si="11"/>
        <v>1.8385681927212843E-5</v>
      </c>
      <c r="P199" s="10">
        <v>45728</v>
      </c>
      <c r="Q199" s="11">
        <v>508.95</v>
      </c>
      <c r="R199" s="1">
        <f t="shared" si="12"/>
        <v>1.3218928550098517E-2</v>
      </c>
    </row>
    <row r="200" spans="1:18" ht="19" x14ac:dyDescent="0.25">
      <c r="A200" s="5">
        <v>45728</v>
      </c>
      <c r="B200" s="1">
        <v>163.63</v>
      </c>
      <c r="C200" s="1">
        <f t="shared" si="13"/>
        <v>9.625470475720382E-3</v>
      </c>
      <c r="D200" s="1">
        <f t="shared" si="14"/>
        <v>1.2110798838524599E-4</v>
      </c>
      <c r="E200" s="1">
        <v>187</v>
      </c>
      <c r="F200" s="1">
        <f t="shared" si="10"/>
        <v>9.625470475720382E-3</v>
      </c>
      <c r="G200" s="1">
        <f t="shared" si="11"/>
        <v>1.2110798838524599E-4</v>
      </c>
      <c r="P200" s="10">
        <v>45727</v>
      </c>
      <c r="Q200" s="11">
        <v>506.5</v>
      </c>
      <c r="R200" s="1">
        <f t="shared" si="12"/>
        <v>-4.8138324000392739E-3</v>
      </c>
    </row>
    <row r="201" spans="1:18" ht="19" x14ac:dyDescent="0.25">
      <c r="A201" s="5">
        <v>45727</v>
      </c>
      <c r="B201" s="1">
        <v>166.1</v>
      </c>
      <c r="C201" s="1">
        <f t="shared" si="13"/>
        <v>1.5095031473446183E-2</v>
      </c>
      <c r="D201" s="1">
        <f t="shared" si="14"/>
        <v>2.7140811123718168E-4</v>
      </c>
      <c r="E201" s="1">
        <v>188</v>
      </c>
      <c r="F201" s="1">
        <f t="shared" si="10"/>
        <v>1.5095031473446183E-2</v>
      </c>
      <c r="G201" s="1">
        <f t="shared" si="11"/>
        <v>2.7140811123718168E-4</v>
      </c>
      <c r="P201" s="10">
        <v>45726</v>
      </c>
      <c r="Q201" s="11">
        <v>510.69</v>
      </c>
      <c r="R201" s="1">
        <f t="shared" si="12"/>
        <v>8.272458045409669E-3</v>
      </c>
    </row>
    <row r="202" spans="1:18" ht="19" x14ac:dyDescent="0.25">
      <c r="A202" s="5">
        <v>45726</v>
      </c>
      <c r="B202" s="1">
        <v>176.98</v>
      </c>
      <c r="C202" s="1">
        <f t="shared" si="13"/>
        <v>6.5502709211318455E-2</v>
      </c>
      <c r="D202" s="1">
        <f t="shared" si="14"/>
        <v>4.4732214808359564E-3</v>
      </c>
      <c r="E202" s="1">
        <v>189</v>
      </c>
      <c r="F202" s="1">
        <f t="shared" si="10"/>
        <v>6.5502709211318455E-2</v>
      </c>
      <c r="G202" s="1">
        <f t="shared" si="11"/>
        <v>4.4732214808359564E-3</v>
      </c>
      <c r="P202" s="10">
        <v>45723</v>
      </c>
      <c r="Q202" s="11">
        <v>524.55999999999995</v>
      </c>
      <c r="R202" s="1">
        <f t="shared" si="12"/>
        <v>2.7159333450821336E-2</v>
      </c>
    </row>
    <row r="203" spans="1:18" ht="19" x14ac:dyDescent="0.25">
      <c r="A203" s="5">
        <v>45723</v>
      </c>
      <c r="B203" s="1">
        <v>178.55</v>
      </c>
      <c r="C203" s="1">
        <f t="shared" si="13"/>
        <v>8.8710588767093555E-3</v>
      </c>
      <c r="D203" s="1">
        <f t="shared" si="14"/>
        <v>1.0507266556575226E-4</v>
      </c>
      <c r="E203" s="1">
        <v>190</v>
      </c>
      <c r="F203" s="1">
        <f t="shared" si="10"/>
        <v>8.8710588767093555E-3</v>
      </c>
      <c r="G203" s="1">
        <f t="shared" si="11"/>
        <v>1.0507266556575226E-4</v>
      </c>
      <c r="P203" s="10">
        <v>45722</v>
      </c>
      <c r="Q203" s="11">
        <v>521.74</v>
      </c>
      <c r="R203" s="1">
        <f t="shared" si="12"/>
        <v>-5.375934116211561E-3</v>
      </c>
    </row>
    <row r="204" spans="1:18" ht="19" x14ac:dyDescent="0.25">
      <c r="A204" s="5">
        <v>45722</v>
      </c>
      <c r="B204" s="1">
        <v>176.59</v>
      </c>
      <c r="C204" s="1">
        <f t="shared" si="13"/>
        <v>-1.0977317278073412E-2</v>
      </c>
      <c r="D204" s="1">
        <f t="shared" si="14"/>
        <v>9.2119305975192953E-5</v>
      </c>
      <c r="E204" s="1">
        <v>191</v>
      </c>
      <c r="F204" s="1">
        <f t="shared" si="10"/>
        <v>-1.0977317278073412E-2</v>
      </c>
      <c r="G204" s="1">
        <f t="shared" si="11"/>
        <v>9.2119305975192953E-5</v>
      </c>
      <c r="P204" s="10">
        <v>45721</v>
      </c>
      <c r="Q204" s="11">
        <v>531.38</v>
      </c>
      <c r="R204" s="1">
        <f t="shared" si="12"/>
        <v>1.8476635872273519E-2</v>
      </c>
    </row>
    <row r="205" spans="1:18" ht="19" x14ac:dyDescent="0.25">
      <c r="A205" s="5">
        <v>45721</v>
      </c>
      <c r="B205" s="1">
        <v>175.54</v>
      </c>
      <c r="C205" s="1">
        <f t="shared" si="13"/>
        <v>-5.9459765558639299E-3</v>
      </c>
      <c r="D205" s="1">
        <f t="shared" si="14"/>
        <v>2.0853283583289475E-5</v>
      </c>
      <c r="E205" s="1">
        <v>192</v>
      </c>
      <c r="F205" s="1">
        <f t="shared" si="10"/>
        <v>-5.9459765558639299E-3</v>
      </c>
      <c r="G205" s="1">
        <f t="shared" si="11"/>
        <v>2.0853283583289475E-5</v>
      </c>
      <c r="P205" s="10">
        <v>45720</v>
      </c>
      <c r="Q205" s="11">
        <v>525.49</v>
      </c>
      <c r="R205" s="1">
        <f t="shared" si="12"/>
        <v>-1.1084346418758679E-2</v>
      </c>
    </row>
    <row r="206" spans="1:18" ht="19" x14ac:dyDescent="0.25">
      <c r="A206" s="5">
        <v>45720</v>
      </c>
      <c r="B206" s="1">
        <v>173.75</v>
      </c>
      <c r="C206" s="1">
        <f t="shared" si="13"/>
        <v>-1.019710607268994E-2</v>
      </c>
      <c r="D206" s="1">
        <f t="shared" si="14"/>
        <v>7.7751288006813651E-5</v>
      </c>
      <c r="E206" s="1">
        <v>193</v>
      </c>
      <c r="F206" s="1">
        <f t="shared" si="10"/>
        <v>-1.019710607268994E-2</v>
      </c>
      <c r="G206" s="1">
        <f t="shared" si="11"/>
        <v>7.7751288006813651E-5</v>
      </c>
      <c r="P206" s="10">
        <v>45719</v>
      </c>
      <c r="Q206" s="11">
        <v>531.9</v>
      </c>
      <c r="R206" s="1">
        <f t="shared" si="12"/>
        <v>1.2198138879902506E-2</v>
      </c>
    </row>
    <row r="207" spans="1:18" ht="19" x14ac:dyDescent="0.25">
      <c r="A207" s="5">
        <v>45719</v>
      </c>
      <c r="B207" s="1">
        <v>171.05</v>
      </c>
      <c r="C207" s="1">
        <f t="shared" si="13"/>
        <v>-1.5539568345323676E-2</v>
      </c>
      <c r="D207" s="1">
        <f t="shared" si="14"/>
        <v>2.0050931992773616E-4</v>
      </c>
      <c r="E207" s="1">
        <v>194</v>
      </c>
      <c r="F207" s="1">
        <f t="shared" ref="F207:F263" si="15">IF(E207&lt;$B$5,C207,"")</f>
        <v>-1.5539568345323676E-2</v>
      </c>
      <c r="G207" s="1">
        <f t="shared" ref="G207:G263" si="16">IF(E207&lt;=$B$5,D207,"")</f>
        <v>2.0050931992773616E-4</v>
      </c>
      <c r="P207" s="10">
        <v>45716</v>
      </c>
      <c r="Q207" s="11">
        <v>541.22</v>
      </c>
      <c r="R207" s="1">
        <f t="shared" ref="R207:R262" si="17">(Q207-Q206)/Q206</f>
        <v>1.7522090618537413E-2</v>
      </c>
    </row>
    <row r="208" spans="1:18" ht="19" x14ac:dyDescent="0.25">
      <c r="A208" s="5">
        <v>45716</v>
      </c>
      <c r="B208" s="1">
        <v>175.24</v>
      </c>
      <c r="C208" s="1">
        <f t="shared" ref="C208:C263" si="18">(B208-B207)/B207</f>
        <v>2.449576147325342E-2</v>
      </c>
      <c r="D208" s="1">
        <f t="shared" ref="D208:D263" si="19">(C208-$B$7)^2</f>
        <v>6.6952589564483979E-4</v>
      </c>
      <c r="E208" s="1">
        <v>195</v>
      </c>
      <c r="F208" s="1">
        <f t="shared" si="15"/>
        <v>2.449576147325342E-2</v>
      </c>
      <c r="G208" s="1">
        <f t="shared" si="16"/>
        <v>6.6952589564483979E-4</v>
      </c>
      <c r="P208" s="10">
        <v>45715</v>
      </c>
      <c r="Q208" s="11">
        <v>532.94000000000005</v>
      </c>
      <c r="R208" s="1">
        <f t="shared" si="17"/>
        <v>-1.5298769446805315E-2</v>
      </c>
    </row>
    <row r="209" spans="1:18" ht="19" x14ac:dyDescent="0.25">
      <c r="A209" s="5">
        <v>45715</v>
      </c>
      <c r="B209" s="1">
        <v>173.52</v>
      </c>
      <c r="C209" s="1">
        <f t="shared" si="18"/>
        <v>-9.8151107053184132E-3</v>
      </c>
      <c r="D209" s="1">
        <f t="shared" si="19"/>
        <v>7.1160590988251571E-5</v>
      </c>
      <c r="E209" s="1">
        <v>196</v>
      </c>
      <c r="F209" s="1">
        <f t="shared" si="15"/>
        <v>-9.8151107053184132E-3</v>
      </c>
      <c r="G209" s="1">
        <f t="shared" si="16"/>
        <v>7.1160590988251571E-5</v>
      </c>
      <c r="P209" s="10">
        <v>45714</v>
      </c>
      <c r="Q209" s="11">
        <v>541.63</v>
      </c>
      <c r="R209" s="1">
        <f t="shared" si="17"/>
        <v>1.6305775509438097E-2</v>
      </c>
    </row>
    <row r="210" spans="1:18" ht="19" x14ac:dyDescent="0.25">
      <c r="A210" s="5">
        <v>45714</v>
      </c>
      <c r="B210" s="1">
        <v>174.43</v>
      </c>
      <c r="C210" s="1">
        <f t="shared" si="18"/>
        <v>5.2443522360534605E-3</v>
      </c>
      <c r="D210" s="1">
        <f t="shared" si="19"/>
        <v>4.3874583744994996E-5</v>
      </c>
      <c r="E210" s="1">
        <v>197</v>
      </c>
      <c r="F210" s="1">
        <f t="shared" si="15"/>
        <v>5.2443522360534605E-3</v>
      </c>
      <c r="G210" s="1">
        <f t="shared" si="16"/>
        <v>4.3874583744994996E-5</v>
      </c>
      <c r="P210" s="10">
        <v>45713</v>
      </c>
      <c r="Q210" s="11">
        <v>541.29999999999995</v>
      </c>
      <c r="R210" s="1">
        <f t="shared" si="17"/>
        <v>-6.0927201225936692E-4</v>
      </c>
    </row>
    <row r="211" spans="1:18" ht="19" x14ac:dyDescent="0.25">
      <c r="A211" s="5">
        <v>45713</v>
      </c>
      <c r="B211" s="1">
        <v>178.59</v>
      </c>
      <c r="C211" s="1">
        <f t="shared" si="18"/>
        <v>2.3849108524909686E-2</v>
      </c>
      <c r="D211" s="1">
        <f t="shared" si="19"/>
        <v>6.3647950892665626E-4</v>
      </c>
      <c r="E211" s="1">
        <v>198</v>
      </c>
      <c r="F211" s="1">
        <f t="shared" si="15"/>
        <v>2.3849108524909686E-2</v>
      </c>
      <c r="G211" s="1">
        <f t="shared" si="16"/>
        <v>6.3647950892665626E-4</v>
      </c>
      <c r="P211" s="10">
        <v>45712</v>
      </c>
      <c r="Q211" s="11">
        <v>544</v>
      </c>
      <c r="R211" s="1">
        <f t="shared" si="17"/>
        <v>4.9879918714207383E-3</v>
      </c>
    </row>
    <row r="212" spans="1:18" ht="19" x14ac:dyDescent="0.25">
      <c r="A212" s="5">
        <v>45712</v>
      </c>
      <c r="B212" s="1">
        <v>180.67</v>
      </c>
      <c r="C212" s="1">
        <f t="shared" si="18"/>
        <v>1.1646788733971578E-2</v>
      </c>
      <c r="D212" s="1">
        <f t="shared" si="19"/>
        <v>1.6968255667835507E-4</v>
      </c>
      <c r="E212" s="1">
        <v>199</v>
      </c>
      <c r="F212" s="1">
        <f t="shared" si="15"/>
        <v>1.1646788733971578E-2</v>
      </c>
      <c r="G212" s="1">
        <f t="shared" si="16"/>
        <v>1.6968255667835507E-4</v>
      </c>
      <c r="P212" s="10">
        <v>45709</v>
      </c>
      <c r="Q212" s="11">
        <v>546.59</v>
      </c>
      <c r="R212" s="1">
        <f t="shared" si="17"/>
        <v>4.7610294117647646E-3</v>
      </c>
    </row>
    <row r="213" spans="1:18" ht="19" x14ac:dyDescent="0.25">
      <c r="A213" s="5">
        <v>45709</v>
      </c>
      <c r="B213" s="1">
        <v>179.11</v>
      </c>
      <c r="C213" s="1">
        <f t="shared" si="18"/>
        <v>-8.634527038246383E-3</v>
      </c>
      <c r="D213" s="1">
        <f t="shared" si="19"/>
        <v>5.2636331571127944E-5</v>
      </c>
      <c r="E213" s="1">
        <v>200</v>
      </c>
      <c r="F213" s="1">
        <f t="shared" si="15"/>
        <v>-8.634527038246383E-3</v>
      </c>
      <c r="G213" s="1">
        <f t="shared" si="16"/>
        <v>5.2636331571127944E-5</v>
      </c>
      <c r="P213" s="10">
        <v>45708</v>
      </c>
      <c r="Q213" s="11">
        <v>556.04999999999995</v>
      </c>
      <c r="R213" s="1">
        <f t="shared" si="17"/>
        <v>1.7307305292815312E-2</v>
      </c>
    </row>
    <row r="214" spans="1:18" ht="19" x14ac:dyDescent="0.25">
      <c r="A214" s="5">
        <v>45708</v>
      </c>
      <c r="B214" s="1">
        <v>195.84</v>
      </c>
      <c r="C214" s="1">
        <f t="shared" si="18"/>
        <v>9.3406286639495212E-2</v>
      </c>
      <c r="D214" s="1">
        <f t="shared" si="19"/>
        <v>8.9843334044509091E-3</v>
      </c>
      <c r="E214" s="1">
        <v>201</v>
      </c>
      <c r="F214" s="1">
        <f t="shared" si="15"/>
        <v>9.3406286639495212E-2</v>
      </c>
      <c r="G214" s="1">
        <f t="shared" si="16"/>
        <v>8.9843334044509091E-3</v>
      </c>
      <c r="P214" s="10">
        <v>45707</v>
      </c>
      <c r="Q214" s="11">
        <v>558.4</v>
      </c>
      <c r="R214" s="1">
        <f t="shared" si="17"/>
        <v>4.226238647603674E-3</v>
      </c>
    </row>
    <row r="215" spans="1:18" ht="19" x14ac:dyDescent="0.25">
      <c r="A215" s="5">
        <v>45707</v>
      </c>
      <c r="B215" s="1">
        <v>203.64</v>
      </c>
      <c r="C215" s="1">
        <f t="shared" si="18"/>
        <v>3.9828431372548934E-2</v>
      </c>
      <c r="D215" s="1">
        <f t="shared" si="19"/>
        <v>1.6980884151955192E-3</v>
      </c>
      <c r="E215" s="1">
        <v>202</v>
      </c>
      <c r="F215" s="1">
        <f t="shared" si="15"/>
        <v>3.9828431372548934E-2</v>
      </c>
      <c r="G215" s="1">
        <f t="shared" si="16"/>
        <v>1.6980884151955192E-3</v>
      </c>
      <c r="P215" s="10">
        <v>45706</v>
      </c>
      <c r="Q215" s="11">
        <v>557.04999999999995</v>
      </c>
      <c r="R215" s="1">
        <f t="shared" si="17"/>
        <v>-2.4176217765043387E-3</v>
      </c>
    </row>
    <row r="216" spans="1:18" ht="19" x14ac:dyDescent="0.25">
      <c r="A216" s="5">
        <v>45706</v>
      </c>
      <c r="B216" s="1">
        <v>207.79</v>
      </c>
      <c r="C216" s="1">
        <f t="shared" si="18"/>
        <v>2.0379100373207649E-2</v>
      </c>
      <c r="D216" s="1">
        <f t="shared" si="19"/>
        <v>4.7343394829717624E-4</v>
      </c>
      <c r="E216" s="1">
        <v>203</v>
      </c>
      <c r="F216" s="1">
        <f t="shared" si="15"/>
        <v>2.0379100373207649E-2</v>
      </c>
      <c r="G216" s="1">
        <f t="shared" si="16"/>
        <v>4.7343394829717624E-4</v>
      </c>
      <c r="P216" s="10">
        <v>45702</v>
      </c>
      <c r="Q216" s="11">
        <v>555.44000000000005</v>
      </c>
      <c r="R216" s="1">
        <f t="shared" si="17"/>
        <v>-2.8902252939590704E-3</v>
      </c>
    </row>
    <row r="217" spans="1:18" ht="19" x14ac:dyDescent="0.25">
      <c r="A217" s="5">
        <v>45702</v>
      </c>
      <c r="B217" s="1">
        <v>204.87</v>
      </c>
      <c r="C217" s="1">
        <f t="shared" si="18"/>
        <v>-1.4052649309398852E-2</v>
      </c>
      <c r="D217" s="1">
        <f t="shared" si="19"/>
        <v>1.6061031042786868E-4</v>
      </c>
      <c r="E217" s="1">
        <v>204</v>
      </c>
      <c r="F217" s="1">
        <f t="shared" si="15"/>
        <v>-1.4052649309398852E-2</v>
      </c>
      <c r="G217" s="1">
        <f t="shared" si="16"/>
        <v>1.6061031042786868E-4</v>
      </c>
      <c r="P217" s="10">
        <v>45701</v>
      </c>
      <c r="Q217" s="11">
        <v>555.41999999999996</v>
      </c>
      <c r="R217" s="1">
        <f t="shared" si="17"/>
        <v>-3.6007489557999956E-5</v>
      </c>
    </row>
    <row r="218" spans="1:18" ht="19" x14ac:dyDescent="0.25">
      <c r="A218" s="5">
        <v>45701</v>
      </c>
      <c r="B218" s="1">
        <v>204.92</v>
      </c>
      <c r="C218" s="1">
        <f t="shared" si="18"/>
        <v>2.4405720700923974E-4</v>
      </c>
      <c r="D218" s="1">
        <f t="shared" si="19"/>
        <v>2.6357334160102835E-6</v>
      </c>
      <c r="E218" s="1">
        <v>205</v>
      </c>
      <c r="F218" s="1">
        <f t="shared" si="15"/>
        <v>2.4405720700923974E-4</v>
      </c>
      <c r="G218" s="1">
        <f t="shared" si="16"/>
        <v>2.6357334160102835E-6</v>
      </c>
      <c r="P218" s="10">
        <v>45700</v>
      </c>
      <c r="Q218" s="11">
        <v>549.62</v>
      </c>
      <c r="R218" s="1">
        <f t="shared" si="17"/>
        <v>-1.0442547981707455E-2</v>
      </c>
    </row>
    <row r="219" spans="1:18" ht="19" x14ac:dyDescent="0.25">
      <c r="A219" s="5">
        <v>45700</v>
      </c>
      <c r="B219" s="1">
        <v>201.57</v>
      </c>
      <c r="C219" s="1">
        <f t="shared" si="18"/>
        <v>-1.634784306070659E-2</v>
      </c>
      <c r="D219" s="1">
        <f t="shared" si="19"/>
        <v>2.2405318022115524E-4</v>
      </c>
      <c r="E219" s="1">
        <v>206</v>
      </c>
      <c r="F219" s="1">
        <f t="shared" si="15"/>
        <v>-1.634784306070659E-2</v>
      </c>
      <c r="G219" s="1">
        <f t="shared" si="16"/>
        <v>2.2405318022115524E-4</v>
      </c>
      <c r="P219" s="10">
        <v>45699</v>
      </c>
      <c r="Q219" s="11">
        <v>551.44000000000005</v>
      </c>
      <c r="R219" s="1">
        <f t="shared" si="17"/>
        <v>3.3113787707871804E-3</v>
      </c>
    </row>
    <row r="220" spans="1:18" ht="19" x14ac:dyDescent="0.25">
      <c r="A220" s="5">
        <v>45699</v>
      </c>
      <c r="B220" s="1">
        <v>204.3</v>
      </c>
      <c r="C220" s="1">
        <f t="shared" si="18"/>
        <v>1.3543682095550024E-2</v>
      </c>
      <c r="D220" s="1">
        <f t="shared" si="19"/>
        <v>2.2269948331768685E-4</v>
      </c>
      <c r="E220" s="1">
        <v>207</v>
      </c>
      <c r="F220" s="1">
        <f t="shared" si="15"/>
        <v>1.3543682095550024E-2</v>
      </c>
      <c r="G220" s="1">
        <f t="shared" si="16"/>
        <v>2.2269948331768685E-4</v>
      </c>
      <c r="P220" s="10">
        <v>45698</v>
      </c>
      <c r="Q220" s="11">
        <v>550.95000000000005</v>
      </c>
      <c r="R220" s="1">
        <f t="shared" si="17"/>
        <v>-8.885826200493418E-4</v>
      </c>
    </row>
    <row r="221" spans="1:18" ht="19" x14ac:dyDescent="0.25">
      <c r="A221" s="5">
        <v>45698</v>
      </c>
      <c r="B221" s="1">
        <v>200.34</v>
      </c>
      <c r="C221" s="1">
        <f t="shared" si="18"/>
        <v>-1.938325991189431E-2</v>
      </c>
      <c r="D221" s="1">
        <f t="shared" si="19"/>
        <v>3.2413763971102108E-4</v>
      </c>
      <c r="E221" s="1">
        <v>208</v>
      </c>
      <c r="F221" s="1">
        <f t="shared" si="15"/>
        <v>-1.938325991189431E-2</v>
      </c>
      <c r="G221" s="1">
        <f t="shared" si="16"/>
        <v>3.2413763971102108E-4</v>
      </c>
      <c r="P221" s="10">
        <v>45695</v>
      </c>
      <c r="Q221" s="11">
        <v>547.03</v>
      </c>
      <c r="R221" s="1">
        <f t="shared" si="17"/>
        <v>-7.1149832108178103E-3</v>
      </c>
    </row>
    <row r="222" spans="1:18" ht="19" x14ac:dyDescent="0.25">
      <c r="A222" s="5">
        <v>45695</v>
      </c>
      <c r="B222" s="1">
        <v>195.79</v>
      </c>
      <c r="C222" s="1">
        <f t="shared" si="18"/>
        <v>-2.2711390635918993E-2</v>
      </c>
      <c r="D222" s="1">
        <f t="shared" si="19"/>
        <v>4.5505224624274126E-4</v>
      </c>
      <c r="E222" s="1">
        <v>209</v>
      </c>
      <c r="F222" s="1">
        <f t="shared" si="15"/>
        <v>-2.2711390635918993E-2</v>
      </c>
      <c r="G222" s="1">
        <f t="shared" si="16"/>
        <v>4.5505224624274126E-4</v>
      </c>
      <c r="P222" s="10">
        <v>45694</v>
      </c>
      <c r="Q222" s="11">
        <v>552.4</v>
      </c>
      <c r="R222" s="1">
        <f t="shared" si="17"/>
        <v>9.8166462534047573E-3</v>
      </c>
    </row>
    <row r="223" spans="1:18" ht="19" x14ac:dyDescent="0.25">
      <c r="A223" s="5">
        <v>45694</v>
      </c>
      <c r="B223" s="1">
        <v>194.48</v>
      </c>
      <c r="C223" s="1">
        <f t="shared" si="18"/>
        <v>-6.6908422289187509E-3</v>
      </c>
      <c r="D223" s="1">
        <f t="shared" si="19"/>
        <v>2.8211025584899909E-5</v>
      </c>
      <c r="E223" s="1">
        <v>210</v>
      </c>
      <c r="F223" s="1">
        <f t="shared" si="15"/>
        <v>-6.6908422289187509E-3</v>
      </c>
      <c r="G223" s="1">
        <f t="shared" si="16"/>
        <v>2.8211025584899909E-5</v>
      </c>
      <c r="P223" s="10">
        <v>45693</v>
      </c>
      <c r="Q223" s="11">
        <v>550.41999999999996</v>
      </c>
      <c r="R223" s="1">
        <f t="shared" si="17"/>
        <v>-3.5843591600289975E-3</v>
      </c>
    </row>
    <row r="224" spans="1:18" ht="19" x14ac:dyDescent="0.25">
      <c r="A224" s="5">
        <v>45693</v>
      </c>
      <c r="B224" s="1">
        <v>192.27</v>
      </c>
      <c r="C224" s="1">
        <f t="shared" si="18"/>
        <v>-1.136363636363626E-2</v>
      </c>
      <c r="D224" s="1">
        <f t="shared" si="19"/>
        <v>9.9684237081551388E-5</v>
      </c>
      <c r="E224" s="1">
        <v>211</v>
      </c>
      <c r="F224" s="1">
        <f t="shared" si="15"/>
        <v>-1.136363636363626E-2</v>
      </c>
      <c r="G224" s="1">
        <f t="shared" si="16"/>
        <v>9.9684237081551388E-5</v>
      </c>
      <c r="P224" s="10">
        <v>45692</v>
      </c>
      <c r="Q224" s="11">
        <v>548.16999999999996</v>
      </c>
      <c r="R224" s="1">
        <f t="shared" si="17"/>
        <v>-4.0877875077213769E-3</v>
      </c>
    </row>
    <row r="225" spans="1:18" ht="19" x14ac:dyDescent="0.25">
      <c r="A225" s="5">
        <v>45692</v>
      </c>
      <c r="B225" s="1">
        <v>182.35</v>
      </c>
      <c r="C225" s="1">
        <f t="shared" si="18"/>
        <v>-5.1594112446039501E-2</v>
      </c>
      <c r="D225" s="1">
        <f t="shared" si="19"/>
        <v>2.52151363089904E-3</v>
      </c>
      <c r="E225" s="1">
        <v>212</v>
      </c>
      <c r="F225" s="1">
        <f t="shared" si="15"/>
        <v>-5.1594112446039501E-2</v>
      </c>
      <c r="G225" s="1">
        <f t="shared" si="16"/>
        <v>2.52151363089904E-3</v>
      </c>
      <c r="P225" s="10">
        <v>45691</v>
      </c>
      <c r="Q225" s="11">
        <v>544.55999999999995</v>
      </c>
      <c r="R225" s="1">
        <f t="shared" si="17"/>
        <v>-6.5855482788186401E-3</v>
      </c>
    </row>
    <row r="226" spans="1:18" ht="19" x14ac:dyDescent="0.25">
      <c r="A226" s="5">
        <v>45691</v>
      </c>
      <c r="B226" s="1">
        <v>180.75</v>
      </c>
      <c r="C226" s="1">
        <f t="shared" si="18"/>
        <v>-8.7743350699204525E-3</v>
      </c>
      <c r="D226" s="1">
        <f t="shared" si="19"/>
        <v>5.4684517574661745E-5</v>
      </c>
      <c r="E226" s="1">
        <v>213</v>
      </c>
      <c r="F226" s="1">
        <f t="shared" si="15"/>
        <v>-8.7743350699204525E-3</v>
      </c>
      <c r="G226" s="1">
        <f t="shared" si="16"/>
        <v>5.4684517574661745E-5</v>
      </c>
      <c r="P226" s="10">
        <v>45688</v>
      </c>
      <c r="Q226" s="11">
        <v>548.15</v>
      </c>
      <c r="R226" s="1">
        <f t="shared" si="17"/>
        <v>6.5924783311297787E-3</v>
      </c>
    </row>
    <row r="227" spans="1:18" ht="19" x14ac:dyDescent="0.25">
      <c r="A227" s="5">
        <v>45688</v>
      </c>
      <c r="B227" s="1">
        <v>184.28</v>
      </c>
      <c r="C227" s="1">
        <f t="shared" si="18"/>
        <v>1.9529737206085761E-2</v>
      </c>
      <c r="D227" s="1">
        <f t="shared" si="19"/>
        <v>4.3719356566899575E-4</v>
      </c>
      <c r="E227" s="1">
        <v>214</v>
      </c>
      <c r="F227" s="1">
        <f t="shared" si="15"/>
        <v>1.9529737206085761E-2</v>
      </c>
      <c r="G227" s="1">
        <f t="shared" si="16"/>
        <v>4.3719356566899575E-4</v>
      </c>
      <c r="P227" s="10">
        <v>45687</v>
      </c>
      <c r="Q227" s="11">
        <v>551.1</v>
      </c>
      <c r="R227" s="1">
        <f t="shared" si="17"/>
        <v>5.3817385752075991E-3</v>
      </c>
    </row>
    <row r="228" spans="1:18" ht="19" x14ac:dyDescent="0.25">
      <c r="A228" s="5">
        <v>45687</v>
      </c>
      <c r="B228" s="1">
        <v>185.45</v>
      </c>
      <c r="C228" s="1">
        <f t="shared" si="18"/>
        <v>6.3490340785760119E-3</v>
      </c>
      <c r="D228" s="1">
        <f t="shared" si="19"/>
        <v>5.9729265097268719E-5</v>
      </c>
      <c r="E228" s="1">
        <v>215</v>
      </c>
      <c r="F228" s="1">
        <f t="shared" si="15"/>
        <v>6.3490340785760119E-3</v>
      </c>
      <c r="G228" s="1">
        <f t="shared" si="16"/>
        <v>5.9729265097268719E-5</v>
      </c>
      <c r="P228" s="10">
        <v>45686</v>
      </c>
      <c r="Q228" s="11">
        <v>548.23</v>
      </c>
      <c r="R228" s="1">
        <f t="shared" si="17"/>
        <v>-5.2077662856106054E-3</v>
      </c>
    </row>
    <row r="229" spans="1:18" ht="19" x14ac:dyDescent="0.25">
      <c r="A229" s="5">
        <v>45686</v>
      </c>
      <c r="B229" s="1">
        <v>184.51</v>
      </c>
      <c r="C229" s="1">
        <f t="shared" si="18"/>
        <v>-5.0687516850903089E-3</v>
      </c>
      <c r="D229" s="1">
        <f t="shared" si="19"/>
        <v>1.3611042900576098E-5</v>
      </c>
      <c r="E229" s="1">
        <v>216</v>
      </c>
      <c r="F229" s="1">
        <f t="shared" si="15"/>
        <v>-5.0687516850903089E-3</v>
      </c>
      <c r="G229" s="1">
        <f t="shared" si="16"/>
        <v>1.3611042900576098E-5</v>
      </c>
      <c r="P229" s="10">
        <v>45685</v>
      </c>
      <c r="Q229" s="11">
        <v>550.65</v>
      </c>
      <c r="R229" s="1">
        <f t="shared" si="17"/>
        <v>4.414205716578733E-3</v>
      </c>
    </row>
    <row r="230" spans="1:18" ht="19" x14ac:dyDescent="0.25">
      <c r="A230" s="5">
        <v>45685</v>
      </c>
      <c r="B230" s="1">
        <v>188.63</v>
      </c>
      <c r="C230" s="1">
        <f t="shared" si="18"/>
        <v>2.2329413039943659E-2</v>
      </c>
      <c r="D230" s="1">
        <f t="shared" si="19"/>
        <v>5.6210956986338834E-4</v>
      </c>
      <c r="E230" s="1">
        <v>217</v>
      </c>
      <c r="F230" s="1">
        <f t="shared" si="15"/>
        <v>2.2329413039943659E-2</v>
      </c>
      <c r="G230" s="1">
        <f t="shared" si="16"/>
        <v>5.6210956986338834E-4</v>
      </c>
      <c r="P230" s="10">
        <v>45684</v>
      </c>
      <c r="Q230" s="11">
        <v>546.07000000000005</v>
      </c>
      <c r="R230" s="1">
        <f t="shared" si="17"/>
        <v>-8.3174430218830968E-3</v>
      </c>
    </row>
    <row r="231" spans="1:18" ht="19" x14ac:dyDescent="0.25">
      <c r="A231" s="5">
        <v>45684</v>
      </c>
      <c r="B231" s="1">
        <v>193.32</v>
      </c>
      <c r="C231" s="1">
        <f t="shared" si="18"/>
        <v>2.4863489370725748E-2</v>
      </c>
      <c r="D231" s="1">
        <f t="shared" si="19"/>
        <v>6.8869118410843917E-4</v>
      </c>
      <c r="E231" s="1">
        <v>218</v>
      </c>
      <c r="F231" s="1">
        <f t="shared" si="15"/>
        <v>2.4863489370725748E-2</v>
      </c>
      <c r="G231" s="1">
        <f t="shared" si="16"/>
        <v>6.8869118410843917E-4</v>
      </c>
      <c r="P231" s="10">
        <v>45681</v>
      </c>
      <c r="Q231" s="11">
        <v>553.78</v>
      </c>
      <c r="R231" s="1">
        <f t="shared" si="17"/>
        <v>1.411906898382977E-2</v>
      </c>
    </row>
    <row r="232" spans="1:18" ht="19" x14ac:dyDescent="0.25">
      <c r="A232" s="5">
        <v>45681</v>
      </c>
      <c r="B232" s="1">
        <v>189.45</v>
      </c>
      <c r="C232" s="1">
        <f t="shared" si="18"/>
        <v>-2.001862197392926E-2</v>
      </c>
      <c r="D232" s="1">
        <f t="shared" si="19"/>
        <v>3.4741921676998474E-4</v>
      </c>
      <c r="E232" s="1">
        <v>219</v>
      </c>
      <c r="F232" s="1">
        <f t="shared" si="15"/>
        <v>-2.001862197392926E-2</v>
      </c>
      <c r="G232" s="1">
        <f t="shared" si="16"/>
        <v>3.4741921676998474E-4</v>
      </c>
      <c r="P232" s="10">
        <v>45680</v>
      </c>
      <c r="Q232" s="11">
        <v>555.45000000000005</v>
      </c>
      <c r="R232" s="1">
        <f t="shared" si="17"/>
        <v>3.0156379789809543E-3</v>
      </c>
    </row>
    <row r="233" spans="1:18" ht="19" x14ac:dyDescent="0.25">
      <c r="A233" s="5">
        <v>45680</v>
      </c>
      <c r="B233" s="1">
        <v>190.17</v>
      </c>
      <c r="C233" s="1">
        <f t="shared" si="18"/>
        <v>3.8004750593824172E-3</v>
      </c>
      <c r="D233" s="1">
        <f t="shared" si="19"/>
        <v>2.6831488865779544E-5</v>
      </c>
      <c r="E233" s="1">
        <v>220</v>
      </c>
      <c r="F233" s="1">
        <f t="shared" si="15"/>
        <v>3.8004750593824172E-3</v>
      </c>
      <c r="G233" s="1">
        <f t="shared" si="16"/>
        <v>2.6831488865779544E-5</v>
      </c>
      <c r="P233" s="10">
        <v>45679</v>
      </c>
      <c r="Q233" s="11">
        <v>552.39</v>
      </c>
      <c r="R233" s="1">
        <f t="shared" si="17"/>
        <v>-5.5090467188766926E-3</v>
      </c>
    </row>
    <row r="234" spans="1:18" ht="19" x14ac:dyDescent="0.25">
      <c r="A234" s="5">
        <v>45679</v>
      </c>
      <c r="B234" s="1">
        <v>187.44</v>
      </c>
      <c r="C234" s="1">
        <f t="shared" si="18"/>
        <v>-1.4355576589367355E-2</v>
      </c>
      <c r="D234" s="1">
        <f t="shared" si="19"/>
        <v>1.6838019883602906E-4</v>
      </c>
      <c r="E234" s="1">
        <v>221</v>
      </c>
      <c r="F234" s="1">
        <f t="shared" si="15"/>
        <v>-1.4355576589367355E-2</v>
      </c>
      <c r="G234" s="1">
        <f t="shared" si="16"/>
        <v>1.6838019883602906E-4</v>
      </c>
      <c r="P234" s="10">
        <v>45678</v>
      </c>
      <c r="Q234" s="11">
        <v>549.27</v>
      </c>
      <c r="R234" s="1">
        <f t="shared" si="17"/>
        <v>-5.648183348721021E-3</v>
      </c>
    </row>
    <row r="235" spans="1:18" ht="19" x14ac:dyDescent="0.25">
      <c r="A235" s="5">
        <v>45678</v>
      </c>
      <c r="B235" s="1">
        <v>189.07</v>
      </c>
      <c r="C235" s="1">
        <f t="shared" si="18"/>
        <v>8.6961160904822643E-3</v>
      </c>
      <c r="D235" s="1">
        <f t="shared" si="19"/>
        <v>1.0151676992904928E-4</v>
      </c>
      <c r="E235" s="1">
        <v>222</v>
      </c>
      <c r="F235" s="1">
        <f t="shared" si="15"/>
        <v>8.6961160904822643E-3</v>
      </c>
      <c r="G235" s="1">
        <f t="shared" si="16"/>
        <v>1.0151676992904928E-4</v>
      </c>
      <c r="P235" s="10">
        <v>45674</v>
      </c>
      <c r="Q235" s="11">
        <v>544.32000000000005</v>
      </c>
      <c r="R235" s="1">
        <f t="shared" si="17"/>
        <v>-9.0119613304930762E-3</v>
      </c>
    </row>
    <row r="236" spans="1:18" ht="19" x14ac:dyDescent="0.25">
      <c r="A236" s="5">
        <v>45674</v>
      </c>
      <c r="B236" s="1">
        <v>188.2</v>
      </c>
      <c r="C236" s="1">
        <f t="shared" si="18"/>
        <v>-4.6014703548950368E-3</v>
      </c>
      <c r="D236" s="1">
        <f t="shared" si="19"/>
        <v>1.0381498988049008E-5</v>
      </c>
      <c r="E236" s="1">
        <v>223</v>
      </c>
      <c r="F236" s="1">
        <f t="shared" si="15"/>
        <v>-4.6014703548950368E-3</v>
      </c>
      <c r="G236" s="1">
        <f t="shared" si="16"/>
        <v>1.0381498988049008E-5</v>
      </c>
      <c r="P236" s="10">
        <v>45673</v>
      </c>
      <c r="Q236" s="11">
        <v>539.15</v>
      </c>
      <c r="R236" s="1">
        <f t="shared" si="17"/>
        <v>-9.4980893592006028E-3</v>
      </c>
    </row>
    <row r="237" spans="1:18" ht="19" x14ac:dyDescent="0.25">
      <c r="A237" s="5">
        <v>45673</v>
      </c>
      <c r="B237" s="1">
        <v>188.56</v>
      </c>
      <c r="C237" s="1">
        <f t="shared" si="18"/>
        <v>1.91285866099901E-3</v>
      </c>
      <c r="D237" s="1">
        <f t="shared" si="19"/>
        <v>1.0839210670393493E-5</v>
      </c>
      <c r="E237" s="1">
        <v>224</v>
      </c>
      <c r="F237" s="1">
        <f t="shared" si="15"/>
        <v>1.91285866099901E-3</v>
      </c>
      <c r="G237" s="1">
        <f t="shared" si="16"/>
        <v>1.0839210670393493E-5</v>
      </c>
      <c r="P237" s="10">
        <v>45672</v>
      </c>
      <c r="Q237" s="11">
        <v>539.95000000000005</v>
      </c>
      <c r="R237" s="1">
        <f t="shared" si="17"/>
        <v>1.4838171195401433E-3</v>
      </c>
    </row>
    <row r="238" spans="1:18" ht="19" x14ac:dyDescent="0.25">
      <c r="A238" s="5">
        <v>45672</v>
      </c>
      <c r="B238" s="1">
        <v>185.52</v>
      </c>
      <c r="C238" s="1">
        <f t="shared" si="18"/>
        <v>-1.6122189223589267E-2</v>
      </c>
      <c r="D238" s="1">
        <f t="shared" si="19"/>
        <v>2.1734874334574259E-4</v>
      </c>
      <c r="E238" s="1">
        <v>225</v>
      </c>
      <c r="F238" s="1">
        <f t="shared" si="15"/>
        <v>-1.6122189223589267E-2</v>
      </c>
      <c r="G238" s="1">
        <f t="shared" si="16"/>
        <v>2.1734874334574259E-4</v>
      </c>
      <c r="P238" s="10">
        <v>45671</v>
      </c>
      <c r="Q238" s="11">
        <v>530.25</v>
      </c>
      <c r="R238" s="1">
        <f t="shared" si="17"/>
        <v>-1.7964626354292145E-2</v>
      </c>
    </row>
    <row r="239" spans="1:18" ht="19" x14ac:dyDescent="0.25">
      <c r="A239" s="5">
        <v>45671</v>
      </c>
      <c r="B239" s="1">
        <v>182.31</v>
      </c>
      <c r="C239" s="1">
        <f t="shared" si="18"/>
        <v>-1.7302716688227728E-2</v>
      </c>
      <c r="D239" s="1">
        <f t="shared" si="19"/>
        <v>2.5355083626670618E-4</v>
      </c>
      <c r="E239" s="1">
        <v>226</v>
      </c>
      <c r="F239" s="1">
        <f t="shared" si="15"/>
        <v>-1.7302716688227728E-2</v>
      </c>
      <c r="G239" s="1">
        <f t="shared" si="16"/>
        <v>2.5355083626670618E-4</v>
      </c>
      <c r="P239" s="10">
        <v>45670</v>
      </c>
      <c r="Q239" s="11">
        <v>529.58000000000004</v>
      </c>
      <c r="R239" s="1">
        <f t="shared" si="17"/>
        <v>-1.2635549269211864E-3</v>
      </c>
    </row>
    <row r="240" spans="1:18" ht="19" x14ac:dyDescent="0.25">
      <c r="A240" s="5">
        <v>45670</v>
      </c>
      <c r="B240" s="1">
        <v>179.38</v>
      </c>
      <c r="C240" s="1">
        <f t="shared" si="18"/>
        <v>-1.6071526520761378E-2</v>
      </c>
      <c r="D240" s="1">
        <f t="shared" si="19"/>
        <v>2.1585749470490797E-4</v>
      </c>
      <c r="E240" s="1">
        <v>227</v>
      </c>
      <c r="F240" s="1">
        <f t="shared" si="15"/>
        <v>-1.6071526520761378E-2</v>
      </c>
      <c r="G240" s="1">
        <f t="shared" si="16"/>
        <v>2.1585749470490797E-4</v>
      </c>
      <c r="P240" s="10">
        <v>45667</v>
      </c>
      <c r="Q240" s="11">
        <v>528.9</v>
      </c>
      <c r="R240" s="1">
        <f t="shared" si="17"/>
        <v>-1.2840364062088139E-3</v>
      </c>
    </row>
    <row r="241" spans="1:18" ht="19" x14ac:dyDescent="0.25">
      <c r="A241" s="5">
        <v>45667</v>
      </c>
      <c r="B241" s="1">
        <v>175.15</v>
      </c>
      <c r="C241" s="1">
        <f t="shared" si="18"/>
        <v>-2.3581224216746514E-2</v>
      </c>
      <c r="D241" s="1">
        <f t="shared" si="19"/>
        <v>4.9291935594838901E-4</v>
      </c>
      <c r="E241" s="1">
        <v>228</v>
      </c>
      <c r="F241" s="1">
        <f t="shared" si="15"/>
        <v>-2.3581224216746514E-2</v>
      </c>
      <c r="G241" s="1">
        <f t="shared" si="16"/>
        <v>4.9291935594838901E-4</v>
      </c>
      <c r="P241" s="10">
        <v>45665</v>
      </c>
      <c r="Q241" s="11">
        <v>537.07000000000005</v>
      </c>
      <c r="R241" s="1">
        <f t="shared" si="17"/>
        <v>1.5447154471544853E-2</v>
      </c>
    </row>
    <row r="242" spans="1:18" ht="19" x14ac:dyDescent="0.25">
      <c r="A242" s="5">
        <v>45665</v>
      </c>
      <c r="B242" s="1">
        <v>178.3</v>
      </c>
      <c r="C242" s="1">
        <f t="shared" si="18"/>
        <v>1.7984584641735687E-2</v>
      </c>
      <c r="D242" s="1">
        <f t="shared" si="19"/>
        <v>3.7496533385317704E-4</v>
      </c>
      <c r="E242" s="1">
        <v>229</v>
      </c>
      <c r="F242" s="1">
        <f t="shared" si="15"/>
        <v>1.7984584641735687E-2</v>
      </c>
      <c r="G242" s="1">
        <f t="shared" si="16"/>
        <v>3.7496533385317704E-4</v>
      </c>
      <c r="P242" s="10">
        <v>45664</v>
      </c>
      <c r="Q242" s="11">
        <v>536.34</v>
      </c>
      <c r="R242" s="1">
        <f t="shared" si="17"/>
        <v>-1.3592269164168882E-3</v>
      </c>
    </row>
    <row r="243" spans="1:18" ht="19" x14ac:dyDescent="0.25">
      <c r="A243" s="5">
        <v>45664</v>
      </c>
      <c r="B243" s="1">
        <v>179.35</v>
      </c>
      <c r="C243" s="1">
        <f t="shared" si="18"/>
        <v>5.88895120583277E-3</v>
      </c>
      <c r="D243" s="1">
        <f t="shared" si="19"/>
        <v>5.2829467002424794E-5</v>
      </c>
      <c r="E243" s="1">
        <v>230</v>
      </c>
      <c r="F243" s="1">
        <f t="shared" si="15"/>
        <v>5.88895120583277E-3</v>
      </c>
      <c r="G243" s="1">
        <f t="shared" si="16"/>
        <v>5.2829467002424794E-5</v>
      </c>
      <c r="P243" s="10">
        <v>45663</v>
      </c>
      <c r="Q243" s="11">
        <v>542.45000000000005</v>
      </c>
      <c r="R243" s="1">
        <f t="shared" si="17"/>
        <v>1.1392027445277274E-2</v>
      </c>
    </row>
    <row r="244" spans="1:18" ht="19" x14ac:dyDescent="0.25">
      <c r="A244" s="5">
        <v>45663</v>
      </c>
      <c r="B244" s="1">
        <v>181.36</v>
      </c>
      <c r="C244" s="1">
        <f t="shared" si="18"/>
        <v>1.1207136883189403E-2</v>
      </c>
      <c r="D244" s="1">
        <f t="shared" si="19"/>
        <v>1.5842184192950596E-4</v>
      </c>
      <c r="E244" s="1">
        <v>231</v>
      </c>
      <c r="F244" s="1">
        <f t="shared" si="15"/>
        <v>1.1207136883189403E-2</v>
      </c>
      <c r="G244" s="1">
        <f t="shared" si="16"/>
        <v>1.5842184192950596E-4</v>
      </c>
      <c r="P244" s="10">
        <v>45660</v>
      </c>
      <c r="Q244" s="11">
        <v>539.30999999999995</v>
      </c>
      <c r="R244" s="1">
        <f t="shared" si="17"/>
        <v>-5.7885519402711763E-3</v>
      </c>
    </row>
    <row r="245" spans="1:18" ht="19" x14ac:dyDescent="0.25">
      <c r="A245" s="5">
        <v>45660</v>
      </c>
      <c r="B245" s="1">
        <v>179.62</v>
      </c>
      <c r="C245" s="1">
        <f t="shared" si="18"/>
        <v>-9.5941773268637467E-3</v>
      </c>
      <c r="D245" s="1">
        <f t="shared" si="19"/>
        <v>6.7481958760161743E-5</v>
      </c>
      <c r="E245" s="1">
        <v>232</v>
      </c>
      <c r="F245" s="1">
        <f t="shared" si="15"/>
        <v>-9.5941773268637467E-3</v>
      </c>
      <c r="G245" s="1">
        <f t="shared" si="16"/>
        <v>6.7481958760161743E-5</v>
      </c>
      <c r="P245" s="10">
        <v>45659</v>
      </c>
      <c r="Q245" s="11">
        <v>532.42999999999995</v>
      </c>
      <c r="R245" s="1">
        <f t="shared" si="17"/>
        <v>-1.2757041404757924E-2</v>
      </c>
    </row>
    <row r="246" spans="1:18" ht="19" x14ac:dyDescent="0.25">
      <c r="A246" s="5">
        <v>45659</v>
      </c>
      <c r="B246" s="1">
        <v>174.47</v>
      </c>
      <c r="C246" s="1">
        <f t="shared" si="18"/>
        <v>-2.8671640129161593E-2</v>
      </c>
      <c r="D246" s="1">
        <f t="shared" si="19"/>
        <v>7.4486435204994066E-4</v>
      </c>
      <c r="E246" s="1">
        <v>233</v>
      </c>
      <c r="F246" s="1">
        <f t="shared" si="15"/>
        <v>-2.8671640129161593E-2</v>
      </c>
      <c r="G246" s="1">
        <f t="shared" si="16"/>
        <v>7.4486435204994066E-4</v>
      </c>
      <c r="P246" s="10">
        <v>45657</v>
      </c>
      <c r="Q246" s="11">
        <v>533.77</v>
      </c>
      <c r="R246" s="1">
        <f t="shared" si="17"/>
        <v>2.5167627669365586E-3</v>
      </c>
    </row>
    <row r="247" spans="1:18" ht="19" x14ac:dyDescent="0.25">
      <c r="A247" s="5">
        <v>45657</v>
      </c>
      <c r="B247" s="1">
        <v>175.14</v>
      </c>
      <c r="C247" s="1">
        <f t="shared" si="18"/>
        <v>3.8402017538831175E-3</v>
      </c>
      <c r="D247" s="1">
        <f t="shared" si="19"/>
        <v>2.7244628643290918E-5</v>
      </c>
      <c r="E247" s="1">
        <v>234</v>
      </c>
      <c r="F247" s="1">
        <f t="shared" si="15"/>
        <v>3.8402017538831175E-3</v>
      </c>
      <c r="G247" s="1">
        <f t="shared" si="16"/>
        <v>2.7244628643290918E-5</v>
      </c>
      <c r="P247" s="10">
        <v>45656</v>
      </c>
      <c r="Q247" s="11">
        <v>535.92999999999995</v>
      </c>
      <c r="R247" s="1">
        <f t="shared" si="17"/>
        <v>4.046686775202743E-3</v>
      </c>
    </row>
    <row r="248" spans="1:18" ht="19" x14ac:dyDescent="0.25">
      <c r="A248" s="5">
        <v>45656</v>
      </c>
      <c r="B248" s="1">
        <v>176.01</v>
      </c>
      <c r="C248" s="1">
        <f t="shared" si="18"/>
        <v>4.9674546077424038E-3</v>
      </c>
      <c r="D248" s="1">
        <f t="shared" si="19"/>
        <v>4.0283032985892711E-5</v>
      </c>
      <c r="E248" s="1">
        <v>235</v>
      </c>
      <c r="F248" s="1">
        <f t="shared" si="15"/>
        <v>4.9674546077424038E-3</v>
      </c>
      <c r="G248" s="1">
        <f t="shared" si="16"/>
        <v>4.0283032985892711E-5</v>
      </c>
      <c r="P248" s="10">
        <v>45653</v>
      </c>
      <c r="Q248" s="11">
        <v>541.96</v>
      </c>
      <c r="R248" s="1">
        <f t="shared" si="17"/>
        <v>1.1251469408318412E-2</v>
      </c>
    </row>
    <row r="249" spans="1:18" ht="19" x14ac:dyDescent="0.25">
      <c r="A249" s="5">
        <v>45653</v>
      </c>
      <c r="B249" s="1">
        <v>178.94</v>
      </c>
      <c r="C249" s="1">
        <f t="shared" si="18"/>
        <v>1.6646781432873171E-2</v>
      </c>
      <c r="D249" s="1">
        <f t="shared" si="19"/>
        <v>3.249445507211523E-4</v>
      </c>
      <c r="E249" s="1">
        <v>236</v>
      </c>
      <c r="F249" s="1">
        <f t="shared" si="15"/>
        <v>1.6646781432873171E-2</v>
      </c>
      <c r="G249" s="1">
        <f t="shared" si="16"/>
        <v>3.249445507211523E-4</v>
      </c>
      <c r="P249" s="10">
        <v>45652</v>
      </c>
      <c r="Q249" s="11">
        <v>547.64</v>
      </c>
      <c r="R249" s="1">
        <f t="shared" si="17"/>
        <v>1.0480478264078438E-2</v>
      </c>
    </row>
    <row r="250" spans="1:18" ht="19" x14ac:dyDescent="0.25">
      <c r="A250" s="5">
        <v>45652</v>
      </c>
      <c r="B250" s="1">
        <v>180.14</v>
      </c>
      <c r="C250" s="1">
        <f t="shared" si="18"/>
        <v>6.7061584888788908E-3</v>
      </c>
      <c r="D250" s="1">
        <f t="shared" si="19"/>
        <v>6.5376854289342059E-5</v>
      </c>
      <c r="E250" s="1">
        <v>237</v>
      </c>
      <c r="F250" s="1">
        <f t="shared" si="15"/>
        <v>6.7061584888788908E-3</v>
      </c>
      <c r="G250" s="1">
        <f t="shared" si="16"/>
        <v>6.5376854289342059E-5</v>
      </c>
      <c r="P250" s="10">
        <v>45650</v>
      </c>
      <c r="Q250" s="11">
        <v>547.65</v>
      </c>
      <c r="R250" s="1">
        <f t="shared" si="17"/>
        <v>1.8260170915183158E-5</v>
      </c>
    </row>
    <row r="251" spans="1:18" ht="19" x14ac:dyDescent="0.25">
      <c r="A251" s="5">
        <v>45650</v>
      </c>
      <c r="B251" s="1">
        <v>180.27</v>
      </c>
      <c r="C251" s="1">
        <f t="shared" si="18"/>
        <v>7.2166093038760902E-4</v>
      </c>
      <c r="D251" s="1">
        <f t="shared" si="19"/>
        <v>4.4146124817828117E-6</v>
      </c>
      <c r="E251" s="1">
        <v>238</v>
      </c>
      <c r="F251" s="1">
        <f t="shared" si="15"/>
        <v>7.2166093038760902E-4</v>
      </c>
      <c r="G251" s="1">
        <f t="shared" si="16"/>
        <v>4.4146124817828117E-6</v>
      </c>
      <c r="P251" s="10">
        <v>45649</v>
      </c>
      <c r="Q251" s="11">
        <v>542.07000000000005</v>
      </c>
      <c r="R251" s="1">
        <f t="shared" si="17"/>
        <v>-1.0188989317994937E-2</v>
      </c>
    </row>
    <row r="252" spans="1:18" ht="19" x14ac:dyDescent="0.25">
      <c r="A252" s="5">
        <v>45649</v>
      </c>
      <c r="B252" s="1">
        <v>178.87</v>
      </c>
      <c r="C252" s="1">
        <f t="shared" si="18"/>
        <v>-7.7661285849004585E-3</v>
      </c>
      <c r="D252" s="1">
        <f t="shared" si="19"/>
        <v>4.07898294957694E-5</v>
      </c>
      <c r="E252" s="1">
        <v>239</v>
      </c>
      <c r="F252" s="1">
        <f t="shared" si="15"/>
        <v>-7.7661285849004585E-3</v>
      </c>
      <c r="G252" s="1">
        <f t="shared" si="16"/>
        <v>4.07898294957694E-5</v>
      </c>
      <c r="P252" s="10">
        <v>45646</v>
      </c>
      <c r="Q252" s="11">
        <v>538.22</v>
      </c>
      <c r="R252" s="1">
        <f t="shared" si="17"/>
        <v>-7.1024037485933967E-3</v>
      </c>
    </row>
    <row r="253" spans="1:18" ht="19" x14ac:dyDescent="0.25">
      <c r="A253" s="5">
        <v>45646</v>
      </c>
      <c r="B253" s="1">
        <v>180.07</v>
      </c>
      <c r="C253" s="1">
        <f t="shared" si="18"/>
        <v>6.7087829149661132E-3</v>
      </c>
      <c r="D253" s="1">
        <f t="shared" si="19"/>
        <v>6.541930127237874E-5</v>
      </c>
      <c r="E253" s="1">
        <v>240</v>
      </c>
      <c r="F253" s="1">
        <f t="shared" si="15"/>
        <v>6.7087829149661132E-3</v>
      </c>
      <c r="G253" s="1">
        <f t="shared" si="16"/>
        <v>6.541930127237874E-5</v>
      </c>
      <c r="P253" s="10">
        <v>45645</v>
      </c>
      <c r="Q253" s="11">
        <v>532.19000000000005</v>
      </c>
      <c r="R253" s="1">
        <f t="shared" si="17"/>
        <v>-1.1203597042101691E-2</v>
      </c>
    </row>
    <row r="254" spans="1:18" ht="19" x14ac:dyDescent="0.25">
      <c r="A254" s="5">
        <v>45645</v>
      </c>
      <c r="B254" s="1">
        <v>186.4</v>
      </c>
      <c r="C254" s="1">
        <f t="shared" si="18"/>
        <v>3.5152996057088978E-2</v>
      </c>
      <c r="D254" s="1">
        <f t="shared" si="19"/>
        <v>1.3346186645265296E-3</v>
      </c>
      <c r="E254" s="1">
        <v>241</v>
      </c>
      <c r="F254" s="1">
        <f t="shared" si="15"/>
        <v>3.5152996057088978E-2</v>
      </c>
      <c r="G254" s="1">
        <f t="shared" si="16"/>
        <v>1.3346186645265296E-3</v>
      </c>
      <c r="P254" s="10">
        <v>45644</v>
      </c>
      <c r="Q254" s="11">
        <v>532.39</v>
      </c>
      <c r="R254" s="1">
        <f t="shared" si="17"/>
        <v>3.7580563332631533E-4</v>
      </c>
    </row>
    <row r="255" spans="1:18" ht="19" x14ac:dyDescent="0.25">
      <c r="A255" s="5">
        <v>45644</v>
      </c>
      <c r="B255" s="1">
        <v>190.4</v>
      </c>
      <c r="C255" s="1">
        <f t="shared" si="18"/>
        <v>2.1459227467811159E-2</v>
      </c>
      <c r="D255" s="1">
        <f t="shared" si="19"/>
        <v>5.2160459433307348E-4</v>
      </c>
      <c r="E255" s="1">
        <v>242</v>
      </c>
      <c r="F255" s="1">
        <f t="shared" si="15"/>
        <v>2.1459227467811159E-2</v>
      </c>
      <c r="G255" s="1">
        <f t="shared" si="16"/>
        <v>5.2160459433307348E-4</v>
      </c>
      <c r="P255" s="10">
        <v>45643</v>
      </c>
      <c r="Q255" s="11">
        <v>548.5</v>
      </c>
      <c r="R255" s="1">
        <f t="shared" si="17"/>
        <v>3.0259771971674926E-2</v>
      </c>
    </row>
    <row r="256" spans="1:18" ht="19" x14ac:dyDescent="0.25">
      <c r="A256" s="5">
        <v>45643</v>
      </c>
      <c r="B256" s="1">
        <v>197.56</v>
      </c>
      <c r="C256" s="1">
        <f t="shared" si="18"/>
        <v>3.7605042016806707E-2</v>
      </c>
      <c r="D256" s="1">
        <f t="shared" si="19"/>
        <v>1.5197896036311608E-3</v>
      </c>
      <c r="E256" s="1">
        <v>243</v>
      </c>
      <c r="F256" s="1">
        <f t="shared" si="15"/>
        <v>3.7605042016806707E-2</v>
      </c>
      <c r="G256" s="1">
        <f t="shared" si="16"/>
        <v>1.5197896036311608E-3</v>
      </c>
      <c r="P256" s="10">
        <v>45642</v>
      </c>
      <c r="Q256" s="11">
        <v>550.80999999999995</v>
      </c>
      <c r="R256" s="1">
        <f t="shared" si="17"/>
        <v>4.2114858705559624E-3</v>
      </c>
    </row>
    <row r="257" spans="1:18" ht="19" x14ac:dyDescent="0.25">
      <c r="A257" s="5">
        <v>45642</v>
      </c>
      <c r="B257" s="1">
        <v>197.47</v>
      </c>
      <c r="C257" s="1">
        <f t="shared" si="18"/>
        <v>-4.5555780522374677E-4</v>
      </c>
      <c r="D257" s="1">
        <f t="shared" si="19"/>
        <v>8.5355275277904923E-7</v>
      </c>
      <c r="E257" s="1">
        <v>244</v>
      </c>
      <c r="F257" s="1">
        <f t="shared" si="15"/>
        <v>-4.5555780522374677E-4</v>
      </c>
      <c r="G257" s="1">
        <f t="shared" si="16"/>
        <v>8.5355275277904923E-7</v>
      </c>
      <c r="P257" s="10">
        <v>45639</v>
      </c>
      <c r="Q257" s="11">
        <v>548.66</v>
      </c>
      <c r="R257" s="1">
        <f t="shared" si="17"/>
        <v>-3.9033423503567065E-3</v>
      </c>
    </row>
    <row r="258" spans="1:18" ht="19" x14ac:dyDescent="0.25">
      <c r="A258" s="5">
        <v>45639</v>
      </c>
      <c r="B258" s="1">
        <v>199.26</v>
      </c>
      <c r="C258" s="1">
        <f t="shared" si="18"/>
        <v>9.0646680508431263E-3</v>
      </c>
      <c r="D258" s="1">
        <f t="shared" si="19"/>
        <v>1.0907933015747981E-4</v>
      </c>
      <c r="E258" s="1">
        <v>245</v>
      </c>
      <c r="F258" s="1">
        <f t="shared" si="15"/>
        <v>9.0646680508431263E-3</v>
      </c>
      <c r="G258" s="1">
        <f t="shared" si="16"/>
        <v>1.0907933015747981E-4</v>
      </c>
      <c r="P258" s="10">
        <v>45638</v>
      </c>
      <c r="Q258" s="11">
        <v>548.70000000000005</v>
      </c>
      <c r="R258" s="1">
        <f t="shared" si="17"/>
        <v>7.2904895563878012E-5</v>
      </c>
    </row>
    <row r="259" spans="1:18" ht="19" x14ac:dyDescent="0.25">
      <c r="A259" s="5">
        <v>45638</v>
      </c>
      <c r="B259" s="1">
        <v>201.59</v>
      </c>
      <c r="C259" s="1">
        <f t="shared" si="18"/>
        <v>1.169326508079902E-2</v>
      </c>
      <c r="D259" s="1">
        <f t="shared" si="19"/>
        <v>1.7089553949860644E-4</v>
      </c>
      <c r="E259" s="1">
        <v>246</v>
      </c>
      <c r="F259" s="1">
        <f t="shared" si="15"/>
        <v>1.169326508079902E-2</v>
      </c>
      <c r="G259" s="1">
        <f t="shared" si="16"/>
        <v>1.7089553949860644E-4</v>
      </c>
      <c r="P259" s="10">
        <v>45637</v>
      </c>
      <c r="Q259" s="11">
        <v>551.54</v>
      </c>
      <c r="R259" s="1">
        <f t="shared" si="17"/>
        <v>5.1758702387459778E-3</v>
      </c>
    </row>
    <row r="260" spans="1:18" ht="19" x14ac:dyDescent="0.25">
      <c r="A260" s="5">
        <v>45637</v>
      </c>
      <c r="B260" s="1">
        <v>203.35</v>
      </c>
      <c r="C260" s="1">
        <f t="shared" si="18"/>
        <v>8.7305917952278933E-3</v>
      </c>
      <c r="D260" s="1">
        <f t="shared" si="19"/>
        <v>1.0221268208974622E-4</v>
      </c>
      <c r="E260" s="1">
        <v>247</v>
      </c>
      <c r="F260" s="1">
        <f t="shared" si="15"/>
        <v>8.7305917952278933E-3</v>
      </c>
      <c r="G260" s="1">
        <f t="shared" si="16"/>
        <v>1.0221268208974622E-4</v>
      </c>
      <c r="P260" s="10">
        <v>45636</v>
      </c>
      <c r="Q260" s="11">
        <v>547.39</v>
      </c>
      <c r="R260" s="1">
        <f t="shared" si="17"/>
        <v>-7.5243862639155414E-3</v>
      </c>
    </row>
    <row r="261" spans="1:18" ht="19" x14ac:dyDescent="0.25">
      <c r="A261" s="5">
        <v>45636</v>
      </c>
      <c r="B261" s="1">
        <v>203.62</v>
      </c>
      <c r="C261" s="1">
        <f t="shared" si="18"/>
        <v>1.3277600196705691E-3</v>
      </c>
      <c r="D261" s="1">
        <f t="shared" si="19"/>
        <v>7.3289156629889598E-6</v>
      </c>
      <c r="E261" s="1">
        <v>248</v>
      </c>
      <c r="F261" s="1">
        <f t="shared" si="15"/>
        <v>1.3277600196705691E-3</v>
      </c>
      <c r="G261" s="1">
        <f t="shared" si="16"/>
        <v>7.3289156629889598E-6</v>
      </c>
      <c r="P261" s="10">
        <v>45635</v>
      </c>
      <c r="Q261" s="11">
        <v>548.95000000000005</v>
      </c>
      <c r="R261" s="1">
        <f t="shared" si="17"/>
        <v>2.8498876486601128E-3</v>
      </c>
    </row>
    <row r="262" spans="1:18" ht="19" x14ac:dyDescent="0.25">
      <c r="A262" s="5">
        <v>45635</v>
      </c>
      <c r="B262" s="1">
        <v>202.47</v>
      </c>
      <c r="C262" s="1">
        <f t="shared" si="18"/>
        <v>-5.6477752676554645E-3</v>
      </c>
      <c r="D262" s="1">
        <f t="shared" si="19"/>
        <v>1.8218711630709818E-5</v>
      </c>
      <c r="E262" s="1">
        <v>249</v>
      </c>
      <c r="F262" s="1">
        <f t="shared" si="15"/>
        <v>-5.6477752676554645E-3</v>
      </c>
      <c r="G262" s="1">
        <f t="shared" si="16"/>
        <v>1.8218711630709818E-5</v>
      </c>
      <c r="P262" s="10">
        <v>45632</v>
      </c>
      <c r="Q262" s="11">
        <v>551.83000000000004</v>
      </c>
      <c r="R262" s="1">
        <f t="shared" si="17"/>
        <v>5.2463794516804723E-3</v>
      </c>
    </row>
    <row r="263" spans="1:18" x14ac:dyDescent="0.2">
      <c r="A263" s="5">
        <v>45632</v>
      </c>
      <c r="B263" s="1">
        <v>201.55</v>
      </c>
      <c r="C263" s="1">
        <f t="shared" si="18"/>
        <v>-4.5438830444015782E-3</v>
      </c>
      <c r="D263" s="1">
        <f t="shared" si="19"/>
        <v>1.0013718815063863E-5</v>
      </c>
      <c r="E263" s="1">
        <v>250</v>
      </c>
      <c r="F263" s="1" t="str">
        <f t="shared" si="15"/>
        <v/>
      </c>
      <c r="G263" s="1">
        <f t="shared" si="16"/>
        <v>1.0013718815063863E-5</v>
      </c>
    </row>
  </sheetData>
  <mergeCells count="1">
    <mergeCell ref="I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ACEC-E539-D64B-AC1C-B09E0516F40E}">
  <dimension ref="A1:B27"/>
  <sheetViews>
    <sheetView workbookViewId="0">
      <selection activeCell="F27" sqref="F27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8" t="s">
        <v>50</v>
      </c>
      <c r="B1" s="8" t="s">
        <v>52</v>
      </c>
    </row>
    <row r="2" spans="1:2" x14ac:dyDescent="0.2">
      <c r="A2" s="1">
        <v>-0.13</v>
      </c>
      <c r="B2" s="1">
        <v>0</v>
      </c>
    </row>
    <row r="3" spans="1:2" x14ac:dyDescent="0.2">
      <c r="A3" s="1">
        <v>-0.12</v>
      </c>
      <c r="B3" s="1">
        <v>0</v>
      </c>
    </row>
    <row r="4" spans="1:2" x14ac:dyDescent="0.2">
      <c r="A4" s="1">
        <v>-0.11</v>
      </c>
      <c r="B4" s="1">
        <v>0</v>
      </c>
    </row>
    <row r="5" spans="1:2" x14ac:dyDescent="0.2">
      <c r="A5" s="1">
        <v>-0.1</v>
      </c>
      <c r="B5" s="1">
        <v>2</v>
      </c>
    </row>
    <row r="6" spans="1:2" x14ac:dyDescent="0.2">
      <c r="A6" s="1">
        <v>-0.09</v>
      </c>
      <c r="B6" s="1">
        <v>0</v>
      </c>
    </row>
    <row r="7" spans="1:2" x14ac:dyDescent="0.2">
      <c r="A7" s="1">
        <v>-0.08</v>
      </c>
      <c r="B7" s="1">
        <v>0</v>
      </c>
    </row>
    <row r="8" spans="1:2" x14ac:dyDescent="0.2">
      <c r="A8" s="1">
        <v>-6.9999999999999896E-2</v>
      </c>
      <c r="B8" s="1">
        <v>0</v>
      </c>
    </row>
    <row r="9" spans="1:2" x14ac:dyDescent="0.2">
      <c r="A9" s="1">
        <v>-5.9999999999999901E-2</v>
      </c>
      <c r="B9" s="1">
        <v>1</v>
      </c>
    </row>
    <row r="10" spans="1:2" x14ac:dyDescent="0.2">
      <c r="A10" s="1">
        <v>-4.9999999999999899E-2</v>
      </c>
      <c r="B10" s="1">
        <v>3</v>
      </c>
    </row>
    <row r="11" spans="1:2" x14ac:dyDescent="0.2">
      <c r="A11" s="1">
        <v>-3.9999999999999897E-2</v>
      </c>
      <c r="B11" s="1">
        <v>2</v>
      </c>
    </row>
    <row r="12" spans="1:2" x14ac:dyDescent="0.2">
      <c r="A12" s="1">
        <v>-0.03</v>
      </c>
      <c r="B12" s="1">
        <v>6</v>
      </c>
    </row>
    <row r="13" spans="1:2" x14ac:dyDescent="0.2">
      <c r="A13" s="1">
        <v>-0.02</v>
      </c>
      <c r="B13" s="1">
        <v>18</v>
      </c>
    </row>
    <row r="14" spans="1:2" x14ac:dyDescent="0.2">
      <c r="A14" s="1">
        <v>-0.01</v>
      </c>
      <c r="B14" s="1">
        <v>40</v>
      </c>
    </row>
    <row r="15" spans="1:2" x14ac:dyDescent="0.2">
      <c r="A15" s="1">
        <v>0</v>
      </c>
      <c r="B15" s="1">
        <v>48</v>
      </c>
    </row>
    <row r="16" spans="1:2" x14ac:dyDescent="0.2">
      <c r="A16" s="1">
        <v>0.01</v>
      </c>
      <c r="B16" s="1">
        <v>46</v>
      </c>
    </row>
    <row r="17" spans="1:2" x14ac:dyDescent="0.2">
      <c r="A17" s="1">
        <v>0.02</v>
      </c>
      <c r="B17" s="1">
        <v>39</v>
      </c>
    </row>
    <row r="18" spans="1:2" x14ac:dyDescent="0.2">
      <c r="A18" s="1">
        <v>0.03</v>
      </c>
      <c r="B18" s="1">
        <v>23</v>
      </c>
    </row>
    <row r="19" spans="1:2" x14ac:dyDescent="0.2">
      <c r="A19" s="1">
        <v>0.04</v>
      </c>
      <c r="B19" s="1">
        <v>12</v>
      </c>
    </row>
    <row r="20" spans="1:2" x14ac:dyDescent="0.2">
      <c r="A20" s="1">
        <v>0.05</v>
      </c>
      <c r="B20" s="1">
        <v>1</v>
      </c>
    </row>
    <row r="21" spans="1:2" x14ac:dyDescent="0.2">
      <c r="A21" s="1">
        <v>0.06</v>
      </c>
      <c r="B21" s="1">
        <v>3</v>
      </c>
    </row>
    <row r="22" spans="1:2" x14ac:dyDescent="0.2">
      <c r="A22" s="1">
        <v>7.0000000000000007E-2</v>
      </c>
      <c r="B22" s="1">
        <v>1</v>
      </c>
    </row>
    <row r="23" spans="1:2" x14ac:dyDescent="0.2">
      <c r="A23" s="1">
        <v>0.08</v>
      </c>
      <c r="B23" s="1">
        <v>0</v>
      </c>
    </row>
    <row r="24" spans="1:2" x14ac:dyDescent="0.2">
      <c r="A24" s="1">
        <v>0.09</v>
      </c>
      <c r="B24" s="1">
        <v>1</v>
      </c>
    </row>
    <row r="25" spans="1:2" x14ac:dyDescent="0.2">
      <c r="A25" s="1">
        <v>0.1</v>
      </c>
      <c r="B25" s="1">
        <v>2</v>
      </c>
    </row>
    <row r="26" spans="1:2" x14ac:dyDescent="0.2">
      <c r="A26" s="1">
        <v>0.11</v>
      </c>
      <c r="B26" s="1">
        <v>1</v>
      </c>
    </row>
    <row r="27" spans="1:2" ht="17" thickBot="1" x14ac:dyDescent="0.25">
      <c r="A27" s="7" t="s">
        <v>51</v>
      </c>
      <c r="B27" s="7">
        <v>0</v>
      </c>
    </row>
  </sheetData>
  <sortState xmlns:xlrd2="http://schemas.microsoft.com/office/spreadsheetml/2017/richdata2" ref="A2:A26">
    <sortCondition ref="A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0FDF-8BB4-F645-AC43-FC776A9AFE37}">
  <dimension ref="A2:I276"/>
  <sheetViews>
    <sheetView workbookViewId="0">
      <selection activeCell="B22" sqref="B22"/>
    </sheetView>
  </sheetViews>
  <sheetFormatPr baseColWidth="10" defaultRowHeight="16" x14ac:dyDescent="0.2"/>
  <cols>
    <col min="1" max="1" width="18.1640625" customWidth="1"/>
    <col min="3" max="3" width="14.33203125" customWidth="1"/>
    <col min="6" max="6" width="15.6640625" customWidth="1"/>
    <col min="8" max="8" width="15.5" customWidth="1"/>
    <col min="9" max="9" width="12.83203125" customWidth="1"/>
  </cols>
  <sheetData>
    <row r="2" spans="1:6" x14ac:dyDescent="0.2">
      <c r="A2" t="s">
        <v>83</v>
      </c>
    </row>
    <row r="5" spans="1:6" x14ac:dyDescent="0.2">
      <c r="A5" t="s">
        <v>56</v>
      </c>
    </row>
    <row r="6" spans="1:6" ht="17" thickBot="1" x14ac:dyDescent="0.25"/>
    <row r="7" spans="1:6" x14ac:dyDescent="0.2">
      <c r="A7" s="14" t="s">
        <v>57</v>
      </c>
      <c r="B7" s="14"/>
    </row>
    <row r="8" spans="1:6" x14ac:dyDescent="0.2">
      <c r="A8" t="s">
        <v>58</v>
      </c>
      <c r="B8">
        <v>0.53475567603541796</v>
      </c>
    </row>
    <row r="9" spans="1:6" x14ac:dyDescent="0.2">
      <c r="A9" t="s">
        <v>59</v>
      </c>
      <c r="B9">
        <v>0.28596363305209693</v>
      </c>
    </row>
    <row r="10" spans="1:6" x14ac:dyDescent="0.2">
      <c r="A10" t="s">
        <v>60</v>
      </c>
      <c r="B10">
        <v>0.28306104619458511</v>
      </c>
    </row>
    <row r="11" spans="1:6" x14ac:dyDescent="0.2">
      <c r="A11" t="s">
        <v>34</v>
      </c>
      <c r="B11">
        <v>2.1177835863425951E-2</v>
      </c>
    </row>
    <row r="12" spans="1:6" ht="17" thickBot="1" x14ac:dyDescent="0.25">
      <c r="A12" s="12" t="s">
        <v>61</v>
      </c>
      <c r="B12" s="12">
        <v>248</v>
      </c>
    </row>
    <row r="14" spans="1:6" ht="17" thickBot="1" x14ac:dyDescent="0.25">
      <c r="A14" t="s">
        <v>62</v>
      </c>
    </row>
    <row r="15" spans="1:6" x14ac:dyDescent="0.2">
      <c r="A15" s="13"/>
      <c r="B15" s="13" t="s">
        <v>67</v>
      </c>
      <c r="C15" s="13" t="s">
        <v>68</v>
      </c>
      <c r="D15" s="13" t="s">
        <v>69</v>
      </c>
      <c r="E15" s="13" t="s">
        <v>70</v>
      </c>
      <c r="F15" s="13" t="s">
        <v>71</v>
      </c>
    </row>
    <row r="16" spans="1:6" x14ac:dyDescent="0.2">
      <c r="A16" t="s">
        <v>63</v>
      </c>
      <c r="B16">
        <v>1</v>
      </c>
      <c r="C16">
        <v>4.4186411985149956E-2</v>
      </c>
      <c r="D16">
        <v>4.4186411985149956E-2</v>
      </c>
      <c r="E16">
        <v>98.520267296061192</v>
      </c>
      <c r="F16">
        <v>9.576524933743392E-20</v>
      </c>
    </row>
    <row r="17" spans="1:9" x14ac:dyDescent="0.2">
      <c r="A17" t="s">
        <v>64</v>
      </c>
      <c r="B17">
        <v>246</v>
      </c>
      <c r="C17">
        <v>0.11033118003711977</v>
      </c>
      <c r="D17">
        <v>4.4850073185821043E-4</v>
      </c>
    </row>
    <row r="18" spans="1:9" ht="17" thickBot="1" x14ac:dyDescent="0.25">
      <c r="A18" s="12" t="s">
        <v>65</v>
      </c>
      <c r="B18" s="12">
        <v>247</v>
      </c>
      <c r="C18" s="12">
        <v>0.15451759202226972</v>
      </c>
      <c r="D18" s="12"/>
      <c r="E18" s="12"/>
      <c r="F18" s="12"/>
    </row>
    <row r="19" spans="1:9" ht="17" thickBot="1" x14ac:dyDescent="0.25"/>
    <row r="20" spans="1:9" x14ac:dyDescent="0.2">
      <c r="A20" s="13"/>
      <c r="B20" s="13" t="s">
        <v>72</v>
      </c>
      <c r="C20" s="13" t="s">
        <v>34</v>
      </c>
      <c r="D20" s="13" t="s">
        <v>73</v>
      </c>
      <c r="E20" s="13" t="s">
        <v>74</v>
      </c>
      <c r="F20" s="13" t="s">
        <v>75</v>
      </c>
      <c r="G20" s="13" t="s">
        <v>76</v>
      </c>
      <c r="H20" s="13" t="s">
        <v>77</v>
      </c>
      <c r="I20" s="13" t="s">
        <v>78</v>
      </c>
    </row>
    <row r="21" spans="1:9" x14ac:dyDescent="0.2">
      <c r="A21" t="s">
        <v>66</v>
      </c>
      <c r="B21">
        <v>1.9309681914959249E-3</v>
      </c>
      <c r="C21">
        <v>1.3458205475939886E-3</v>
      </c>
      <c r="D21">
        <v>1.4347887576453213</v>
      </c>
      <c r="E21">
        <v>0.15261737986563353</v>
      </c>
      <c r="F21">
        <v>-7.1983287045997428E-4</v>
      </c>
      <c r="G21">
        <v>4.5817692534518241E-3</v>
      </c>
      <c r="H21">
        <v>-7.1983287045997428E-4</v>
      </c>
      <c r="I21">
        <v>4.5817692534518241E-3</v>
      </c>
    </row>
    <row r="22" spans="1:9" ht="17" thickBot="1" x14ac:dyDescent="0.25">
      <c r="A22" s="12">
        <v>-1.8715898997590148E-3</v>
      </c>
      <c r="B22" s="12">
        <v>1.1340490565662293</v>
      </c>
      <c r="C22" s="12">
        <v>0.11425337844011373</v>
      </c>
      <c r="D22" s="12">
        <v>9.9257376197470144</v>
      </c>
      <c r="E22" s="12">
        <v>9.5765249337436688E-20</v>
      </c>
      <c r="F22" s="12">
        <v>0.90900941257910883</v>
      </c>
      <c r="G22" s="12">
        <v>1.3590887005533498</v>
      </c>
      <c r="H22" s="12">
        <v>0.90900941257910883</v>
      </c>
      <c r="I22" s="12">
        <v>1.3590887005533498</v>
      </c>
    </row>
    <row r="26" spans="1:9" x14ac:dyDescent="0.2">
      <c r="A26" t="s">
        <v>79</v>
      </c>
    </row>
    <row r="27" spans="1:9" ht="17" thickBot="1" x14ac:dyDescent="0.25"/>
    <row r="28" spans="1:9" x14ac:dyDescent="0.2">
      <c r="A28" s="13" t="s">
        <v>80</v>
      </c>
      <c r="B28" s="13" t="s">
        <v>81</v>
      </c>
      <c r="C28" s="13" t="s">
        <v>82</v>
      </c>
    </row>
    <row r="29" spans="1:9" x14ac:dyDescent="0.2">
      <c r="A29">
        <v>1</v>
      </c>
      <c r="B29">
        <v>9.7586569669206246E-4</v>
      </c>
      <c r="C29">
        <v>-1.7652303713759369E-2</v>
      </c>
    </row>
    <row r="30" spans="1:9" x14ac:dyDescent="0.2">
      <c r="A30">
        <v>2</v>
      </c>
      <c r="B30">
        <v>-2.01891401325299E-3</v>
      </c>
      <c r="C30">
        <v>-6.2704504337194059E-2</v>
      </c>
    </row>
    <row r="31" spans="1:9" x14ac:dyDescent="0.2">
      <c r="A31">
        <v>3</v>
      </c>
      <c r="B31">
        <v>1.2470952579473671E-5</v>
      </c>
      <c r="C31">
        <v>-1.26913206480039E-2</v>
      </c>
    </row>
    <row r="32" spans="1:9" x14ac:dyDescent="0.2">
      <c r="A32">
        <v>4</v>
      </c>
      <c r="B32">
        <v>7.1704517787135793E-3</v>
      </c>
      <c r="C32">
        <v>-3.8521337782013505E-2</v>
      </c>
    </row>
    <row r="33" spans="1:3" x14ac:dyDescent="0.2">
      <c r="A33">
        <v>5</v>
      </c>
      <c r="B33">
        <v>-4.3130599680162827E-3</v>
      </c>
      <c r="C33">
        <v>1.4986621010334368E-3</v>
      </c>
    </row>
    <row r="34" spans="1:3" x14ac:dyDescent="0.2">
      <c r="A34">
        <v>6</v>
      </c>
      <c r="B34">
        <v>-5.8537673116150621E-3</v>
      </c>
      <c r="C34">
        <v>1.545983592066754E-3</v>
      </c>
    </row>
    <row r="35" spans="1:3" x14ac:dyDescent="0.2">
      <c r="A35">
        <v>7</v>
      </c>
      <c r="B35">
        <v>-8.5204232362724747E-3</v>
      </c>
      <c r="C35">
        <v>-6.3236764205976508E-3</v>
      </c>
    </row>
    <row r="36" spans="1:3" x14ac:dyDescent="0.2">
      <c r="A36">
        <v>8</v>
      </c>
      <c r="B36">
        <v>-1.4684932546237584E-2</v>
      </c>
      <c r="C36">
        <v>2.937411252655104E-2</v>
      </c>
    </row>
    <row r="37" spans="1:3" x14ac:dyDescent="0.2">
      <c r="A37">
        <v>9</v>
      </c>
      <c r="B37">
        <v>-9.2423898988780312E-3</v>
      </c>
      <c r="C37">
        <v>-5.0230783744879784E-2</v>
      </c>
    </row>
    <row r="38" spans="1:3" x14ac:dyDescent="0.2">
      <c r="A38">
        <v>10</v>
      </c>
      <c r="B38">
        <v>1.9396488030605147E-2</v>
      </c>
      <c r="C38">
        <v>-9.7170211946800526E-3</v>
      </c>
    </row>
    <row r="39" spans="1:3" x14ac:dyDescent="0.2">
      <c r="A39">
        <v>11</v>
      </c>
      <c r="B39">
        <v>-2.1644157947906082E-3</v>
      </c>
      <c r="C39">
        <v>2.6838311755815285E-2</v>
      </c>
    </row>
    <row r="40" spans="1:3" x14ac:dyDescent="0.2">
      <c r="A40">
        <v>12</v>
      </c>
      <c r="B40">
        <v>1.1347125102688271E-2</v>
      </c>
      <c r="C40">
        <v>-1.725203307814847E-2</v>
      </c>
    </row>
    <row r="41" spans="1:3" x14ac:dyDescent="0.2">
      <c r="A41">
        <v>13</v>
      </c>
      <c r="B41">
        <v>1.2659260521275932E-2</v>
      </c>
      <c r="C41">
        <v>5.8549722952017779E-3</v>
      </c>
    </row>
    <row r="42" spans="1:3" x14ac:dyDescent="0.2">
      <c r="A42">
        <v>14</v>
      </c>
      <c r="B42">
        <v>2.2246539125689718E-3</v>
      </c>
      <c r="C42">
        <v>2.1633560129694192E-2</v>
      </c>
    </row>
    <row r="43" spans="1:3" x14ac:dyDescent="0.2">
      <c r="A43">
        <v>15</v>
      </c>
      <c r="B43">
        <v>2.0703637407296416E-2</v>
      </c>
      <c r="C43">
        <v>4.4480122450190548E-3</v>
      </c>
    </row>
    <row r="44" spans="1:3" x14ac:dyDescent="0.2">
      <c r="A44">
        <v>16</v>
      </c>
      <c r="B44">
        <v>1.3713629456654863E-3</v>
      </c>
      <c r="C44">
        <v>3.3190685740341619E-3</v>
      </c>
    </row>
    <row r="45" spans="1:3" x14ac:dyDescent="0.2">
      <c r="A45">
        <v>17</v>
      </c>
      <c r="B45">
        <v>-6.6977178948113096E-4</v>
      </c>
      <c r="C45">
        <v>-1.1827534825472405E-2</v>
      </c>
    </row>
    <row r="46" spans="1:3" x14ac:dyDescent="0.2">
      <c r="A46">
        <v>18</v>
      </c>
      <c r="B46">
        <v>-1.5410947561699796E-2</v>
      </c>
      <c r="C46">
        <v>3.0902983346120447E-2</v>
      </c>
    </row>
    <row r="47" spans="1:3" x14ac:dyDescent="0.2">
      <c r="A47">
        <v>19</v>
      </c>
      <c r="B47">
        <v>7.3605193937962654E-4</v>
      </c>
      <c r="C47">
        <v>-1.6493106802579864E-2</v>
      </c>
    </row>
    <row r="48" spans="1:3" x14ac:dyDescent="0.2">
      <c r="A48">
        <v>20</v>
      </c>
      <c r="B48">
        <v>1.4113567105017349E-2</v>
      </c>
      <c r="C48">
        <v>8.2994732093474646E-3</v>
      </c>
    </row>
    <row r="49" spans="1:3" x14ac:dyDescent="0.2">
      <c r="A49">
        <v>21</v>
      </c>
      <c r="B49">
        <v>-1.4737643901096592E-3</v>
      </c>
      <c r="C49">
        <v>5.6018782691133074E-3</v>
      </c>
    </row>
    <row r="50" spans="1:3" x14ac:dyDescent="0.2">
      <c r="A50">
        <v>22</v>
      </c>
      <c r="B50">
        <v>1.5225670411824946E-2</v>
      </c>
      <c r="C50">
        <v>-4.2444269788065397E-2</v>
      </c>
    </row>
    <row r="51" spans="1:3" x14ac:dyDescent="0.2">
      <c r="A51">
        <v>23</v>
      </c>
      <c r="B51">
        <v>-2.8922430468642164E-4</v>
      </c>
      <c r="C51">
        <v>2.1420089941526829E-2</v>
      </c>
    </row>
    <row r="52" spans="1:3" x14ac:dyDescent="0.2">
      <c r="A52">
        <v>24</v>
      </c>
      <c r="B52">
        <v>-1.3244673498079174E-3</v>
      </c>
      <c r="C52">
        <v>-2.1224412341928893E-2</v>
      </c>
    </row>
    <row r="53" spans="1:3" x14ac:dyDescent="0.2">
      <c r="A53">
        <v>25</v>
      </c>
      <c r="B53">
        <v>1.4101445399543139E-2</v>
      </c>
      <c r="C53">
        <v>-2.2277821512844177E-2</v>
      </c>
    </row>
    <row r="54" spans="1:3" x14ac:dyDescent="0.2">
      <c r="A54">
        <v>26</v>
      </c>
      <c r="B54">
        <v>1.4643921099907278E-3</v>
      </c>
      <c r="C54">
        <v>-1.7588128372100747E-3</v>
      </c>
    </row>
    <row r="55" spans="1:3" x14ac:dyDescent="0.2">
      <c r="A55">
        <v>27</v>
      </c>
      <c r="B55">
        <v>-1.1030245986337103E-3</v>
      </c>
      <c r="C55">
        <v>5.8151435796380902E-3</v>
      </c>
    </row>
    <row r="56" spans="1:3" x14ac:dyDescent="0.2">
      <c r="A56">
        <v>28</v>
      </c>
      <c r="B56">
        <v>-1.1479611921866709E-2</v>
      </c>
      <c r="C56">
        <v>7.0094375117830676E-3</v>
      </c>
    </row>
    <row r="57" spans="1:3" x14ac:dyDescent="0.2">
      <c r="A57">
        <v>29</v>
      </c>
      <c r="B57">
        <v>-7.3775061142679794E-3</v>
      </c>
      <c r="C57">
        <v>5.4636305161819224E-3</v>
      </c>
    </row>
    <row r="58" spans="1:3" x14ac:dyDescent="0.2">
      <c r="A58">
        <v>30</v>
      </c>
      <c r="B58">
        <v>-4.4423639967083482E-3</v>
      </c>
      <c r="C58">
        <v>4.2424516072820197E-2</v>
      </c>
    </row>
    <row r="59" spans="1:3" x14ac:dyDescent="0.2">
      <c r="A59">
        <v>31</v>
      </c>
      <c r="B59">
        <v>7.6938443197866234E-3</v>
      </c>
      <c r="C59">
        <v>1.5966806525744028E-2</v>
      </c>
    </row>
    <row r="60" spans="1:3" x14ac:dyDescent="0.2">
      <c r="A60">
        <v>32</v>
      </c>
      <c r="B60">
        <v>2.0779871425812054E-3</v>
      </c>
      <c r="C60">
        <v>-2.7343483082054976E-2</v>
      </c>
    </row>
    <row r="61" spans="1:3" x14ac:dyDescent="0.2">
      <c r="A61">
        <v>33</v>
      </c>
      <c r="B61">
        <v>-9.8473983081548925E-3</v>
      </c>
      <c r="C61">
        <v>-9.0944232399473388E-3</v>
      </c>
    </row>
    <row r="62" spans="1:3" x14ac:dyDescent="0.2">
      <c r="A62">
        <v>34</v>
      </c>
      <c r="B62">
        <v>-4.3263920164878953E-3</v>
      </c>
      <c r="C62">
        <v>4.7619004726104346E-3</v>
      </c>
    </row>
    <row r="63" spans="1:3" x14ac:dyDescent="0.2">
      <c r="A63">
        <v>35</v>
      </c>
      <c r="B63">
        <v>9.4739935763845894E-3</v>
      </c>
      <c r="C63">
        <v>-3.1675256001110715E-2</v>
      </c>
    </row>
    <row r="64" spans="1:3" x14ac:dyDescent="0.2">
      <c r="A64">
        <v>36</v>
      </c>
      <c r="B64">
        <v>-3.039758582783123E-3</v>
      </c>
      <c r="C64">
        <v>5.933577681989077E-3</v>
      </c>
    </row>
    <row r="65" spans="1:3" x14ac:dyDescent="0.2">
      <c r="A65">
        <v>37</v>
      </c>
      <c r="B65">
        <v>3.5330744562137445E-3</v>
      </c>
      <c r="C65">
        <v>2.0159045316524883E-3</v>
      </c>
    </row>
    <row r="66" spans="1:3" x14ac:dyDescent="0.2">
      <c r="A66">
        <v>38</v>
      </c>
      <c r="B66">
        <v>-1.499763602226814E-2</v>
      </c>
      <c r="C66">
        <v>1.2385307320024897E-3</v>
      </c>
    </row>
    <row r="67" spans="1:3" x14ac:dyDescent="0.2">
      <c r="A67">
        <v>39</v>
      </c>
      <c r="B67">
        <v>3.326079425339961E-2</v>
      </c>
      <c r="C67">
        <v>1.8664004314192219E-2</v>
      </c>
    </row>
    <row r="68" spans="1:3" x14ac:dyDescent="0.2">
      <c r="A68">
        <v>40</v>
      </c>
      <c r="B68">
        <v>4.9999390624496706E-3</v>
      </c>
      <c r="C68">
        <v>1.9751833987195787E-2</v>
      </c>
    </row>
    <row r="69" spans="1:3" x14ac:dyDescent="0.2">
      <c r="A69">
        <v>41</v>
      </c>
      <c r="B69">
        <v>-4.6119397257291606E-3</v>
      </c>
      <c r="C69">
        <v>-1.8988309426461278E-2</v>
      </c>
    </row>
    <row r="70" spans="1:3" x14ac:dyDescent="0.2">
      <c r="A70">
        <v>42</v>
      </c>
      <c r="B70">
        <v>5.9864102013230175E-3</v>
      </c>
      <c r="C70">
        <v>4.3623281031849167E-3</v>
      </c>
    </row>
    <row r="71" spans="1:3" x14ac:dyDescent="0.2">
      <c r="A71">
        <v>43</v>
      </c>
      <c r="B71">
        <v>-1.9263415247157817E-3</v>
      </c>
      <c r="C71">
        <v>-8.5268645928651132E-3</v>
      </c>
    </row>
    <row r="72" spans="1:3" x14ac:dyDescent="0.2">
      <c r="A72">
        <v>44</v>
      </c>
      <c r="B72">
        <v>1.8388140344534093E-3</v>
      </c>
      <c r="C72">
        <v>-7.0142837260522613E-3</v>
      </c>
    </row>
    <row r="73" spans="1:3" x14ac:dyDescent="0.2">
      <c r="A73">
        <v>45</v>
      </c>
      <c r="B73">
        <v>6.7756980309287046E-4</v>
      </c>
      <c r="C73">
        <v>-1.0369702072191967E-2</v>
      </c>
    </row>
    <row r="74" spans="1:3" x14ac:dyDescent="0.2">
      <c r="A74">
        <v>46</v>
      </c>
      <c r="B74">
        <v>-2.1101783563018915E-3</v>
      </c>
      <c r="C74">
        <v>1.3192504205467061E-2</v>
      </c>
    </row>
    <row r="75" spans="1:3" x14ac:dyDescent="0.2">
      <c r="A75">
        <v>47</v>
      </c>
      <c r="B75">
        <v>-2.2357426371954368E-3</v>
      </c>
      <c r="C75">
        <v>4.0862764450245535E-3</v>
      </c>
    </row>
    <row r="76" spans="1:3" x14ac:dyDescent="0.2">
      <c r="A76">
        <v>48</v>
      </c>
      <c r="B76">
        <v>-1.2474100012306965E-3</v>
      </c>
      <c r="C76">
        <v>-1.6087060018661302E-2</v>
      </c>
    </row>
    <row r="77" spans="1:3" x14ac:dyDescent="0.2">
      <c r="A77">
        <v>49</v>
      </c>
      <c r="B77">
        <v>-4.7046036854570261E-3</v>
      </c>
      <c r="C77">
        <v>1.7934794547226927E-2</v>
      </c>
    </row>
    <row r="78" spans="1:3" x14ac:dyDescent="0.2">
      <c r="A78">
        <v>50</v>
      </c>
      <c r="B78">
        <v>7.3681640120858791E-3</v>
      </c>
      <c r="C78">
        <v>-2.8729802803698929E-3</v>
      </c>
    </row>
    <row r="79" spans="1:3" x14ac:dyDescent="0.2">
      <c r="A79">
        <v>51</v>
      </c>
      <c r="B79">
        <v>5.7375037900793567E-3</v>
      </c>
      <c r="C79">
        <v>-1.7955148341862272E-2</v>
      </c>
    </row>
    <row r="80" spans="1:3" x14ac:dyDescent="0.2">
      <c r="A80">
        <v>52</v>
      </c>
      <c r="B80">
        <v>7.9006262295045152E-3</v>
      </c>
      <c r="C80">
        <v>-1.0848993840607613E-2</v>
      </c>
    </row>
    <row r="81" spans="1:3" x14ac:dyDescent="0.2">
      <c r="A81">
        <v>53</v>
      </c>
      <c r="B81">
        <v>-3.563437606128473E-3</v>
      </c>
      <c r="C81">
        <v>1.7339131800142151E-2</v>
      </c>
    </row>
    <row r="82" spans="1:3" x14ac:dyDescent="0.2">
      <c r="A82">
        <v>54</v>
      </c>
      <c r="B82">
        <v>-3.348520564402047E-3</v>
      </c>
      <c r="C82">
        <v>1.4375839858653693E-2</v>
      </c>
    </row>
    <row r="83" spans="1:3" x14ac:dyDescent="0.2">
      <c r="A83">
        <v>55</v>
      </c>
      <c r="B83">
        <v>-3.373213825381755E-3</v>
      </c>
      <c r="C83">
        <v>-8.4886766079108732E-4</v>
      </c>
    </row>
    <row r="84" spans="1:3" x14ac:dyDescent="0.2">
      <c r="A84">
        <v>56</v>
      </c>
      <c r="B84">
        <v>3.2444805675570197E-3</v>
      </c>
      <c r="C84">
        <v>3.3643371881033182E-2</v>
      </c>
    </row>
    <row r="85" spans="1:3" x14ac:dyDescent="0.2">
      <c r="A85">
        <v>57</v>
      </c>
      <c r="B85">
        <v>3.430388489074778E-3</v>
      </c>
      <c r="C85">
        <v>-1.5493361296271548E-2</v>
      </c>
    </row>
    <row r="86" spans="1:3" x14ac:dyDescent="0.2">
      <c r="A86">
        <v>58</v>
      </c>
      <c r="B86">
        <v>-3.9464854077150228E-3</v>
      </c>
      <c r="C86">
        <v>1.4630416991056575E-3</v>
      </c>
    </row>
    <row r="87" spans="1:3" x14ac:dyDescent="0.2">
      <c r="A87">
        <v>59</v>
      </c>
      <c r="B87">
        <v>2.1755699590722535E-3</v>
      </c>
      <c r="C87">
        <v>2.8944761991135215E-2</v>
      </c>
    </row>
    <row r="88" spans="1:3" x14ac:dyDescent="0.2">
      <c r="A88">
        <v>60</v>
      </c>
      <c r="B88">
        <v>-7.2490258303058398E-3</v>
      </c>
      <c r="C88">
        <v>-1.3408251164999219E-2</v>
      </c>
    </row>
    <row r="89" spans="1:3" x14ac:dyDescent="0.2">
      <c r="A89">
        <v>61</v>
      </c>
      <c r="B89">
        <v>-1.3499737752575864E-3</v>
      </c>
      <c r="C89">
        <v>1.4430373720470546E-2</v>
      </c>
    </row>
    <row r="90" spans="1:3" x14ac:dyDescent="0.2">
      <c r="A90">
        <v>62</v>
      </c>
      <c r="B90">
        <v>-8.0791320098936973E-4</v>
      </c>
      <c r="C90">
        <v>2.027658081404957E-2</v>
      </c>
    </row>
    <row r="91" spans="1:3" x14ac:dyDescent="0.2">
      <c r="A91">
        <v>63</v>
      </c>
      <c r="B91">
        <v>-1.0052045507904772E-3</v>
      </c>
      <c r="C91">
        <v>-1.6471394582275301E-3</v>
      </c>
    </row>
    <row r="92" spans="1:3" x14ac:dyDescent="0.2">
      <c r="A92">
        <v>64</v>
      </c>
      <c r="B92">
        <v>5.0468026691329621E-3</v>
      </c>
      <c r="C92">
        <v>-1.7612456548529186E-2</v>
      </c>
    </row>
    <row r="93" spans="1:3" x14ac:dyDescent="0.2">
      <c r="A93">
        <v>65</v>
      </c>
      <c r="B93">
        <v>-7.3337335431304601E-3</v>
      </c>
      <c r="C93">
        <v>2.6205635996883851E-3</v>
      </c>
    </row>
    <row r="94" spans="1:3" x14ac:dyDescent="0.2">
      <c r="A94">
        <v>66</v>
      </c>
      <c r="B94">
        <v>-3.8350897541995282E-3</v>
      </c>
      <c r="C94">
        <v>1.3982566415003207E-2</v>
      </c>
    </row>
    <row r="95" spans="1:3" x14ac:dyDescent="0.2">
      <c r="A95">
        <v>67</v>
      </c>
      <c r="B95">
        <v>1.0353798177405973E-2</v>
      </c>
      <c r="C95">
        <v>-3.1879798007652463E-3</v>
      </c>
    </row>
    <row r="96" spans="1:3" x14ac:dyDescent="0.2">
      <c r="A96">
        <v>68</v>
      </c>
      <c r="B96">
        <v>8.5083338284228927E-3</v>
      </c>
      <c r="C96">
        <v>-1.6953044247998542E-2</v>
      </c>
    </row>
    <row r="97" spans="1:3" x14ac:dyDescent="0.2">
      <c r="A97">
        <v>69</v>
      </c>
      <c r="B97">
        <v>-2.0727691051469371E-3</v>
      </c>
      <c r="C97">
        <v>2.9634464384116797E-2</v>
      </c>
    </row>
    <row r="98" spans="1:3" x14ac:dyDescent="0.2">
      <c r="A98">
        <v>70</v>
      </c>
      <c r="B98">
        <v>-6.5198198120692869E-4</v>
      </c>
      <c r="C98">
        <v>4.959232519613224E-3</v>
      </c>
    </row>
    <row r="99" spans="1:3" x14ac:dyDescent="0.2">
      <c r="A99">
        <v>71</v>
      </c>
      <c r="B99">
        <v>-2.5755425935128935E-3</v>
      </c>
      <c r="C99">
        <v>8.9437276607688444E-3</v>
      </c>
    </row>
    <row r="100" spans="1:3" x14ac:dyDescent="0.2">
      <c r="A100">
        <v>72</v>
      </c>
      <c r="B100">
        <v>6.7442557562909632E-3</v>
      </c>
      <c r="C100">
        <v>1.6823898179267931E-2</v>
      </c>
    </row>
    <row r="101" spans="1:3" x14ac:dyDescent="0.2">
      <c r="A101">
        <v>73</v>
      </c>
      <c r="B101">
        <v>-1.5170258452693146E-2</v>
      </c>
      <c r="C101">
        <v>-4.3812835163254508E-2</v>
      </c>
    </row>
    <row r="102" spans="1:3" x14ac:dyDescent="0.2">
      <c r="A102">
        <v>74</v>
      </c>
      <c r="B102">
        <v>6.4274551820004359E-3</v>
      </c>
      <c r="C102">
        <v>-3.1426123851913648E-3</v>
      </c>
    </row>
    <row r="103" spans="1:3" x14ac:dyDescent="0.2">
      <c r="A103">
        <v>75</v>
      </c>
      <c r="B103">
        <v>4.916787457899442E-3</v>
      </c>
      <c r="C103">
        <v>2.5485457630968735E-2</v>
      </c>
    </row>
    <row r="104" spans="1:3" x14ac:dyDescent="0.2">
      <c r="A104">
        <v>76</v>
      </c>
      <c r="B104">
        <v>8.1576507085786426E-3</v>
      </c>
      <c r="C104">
        <v>-3.6236244833473347E-2</v>
      </c>
    </row>
    <row r="105" spans="1:3" x14ac:dyDescent="0.2">
      <c r="A105">
        <v>77</v>
      </c>
      <c r="B105">
        <v>2.334838664606223E-3</v>
      </c>
      <c r="C105">
        <v>2.2021242390500807E-3</v>
      </c>
    </row>
    <row r="106" spans="1:3" x14ac:dyDescent="0.2">
      <c r="A106">
        <v>78</v>
      </c>
      <c r="B106">
        <v>4.3917785129252715E-3</v>
      </c>
      <c r="C106">
        <v>-4.5910346234460013E-3</v>
      </c>
    </row>
    <row r="107" spans="1:3" x14ac:dyDescent="0.2">
      <c r="A107">
        <v>79</v>
      </c>
      <c r="B107">
        <v>1.9117847376667553E-3</v>
      </c>
      <c r="C107">
        <v>1.3633289333946899E-2</v>
      </c>
    </row>
    <row r="108" spans="1:3" x14ac:dyDescent="0.2">
      <c r="A108">
        <v>80</v>
      </c>
      <c r="B108">
        <v>-2.0017063681940332E-3</v>
      </c>
      <c r="C108">
        <v>-2.5538033279873001E-2</v>
      </c>
    </row>
    <row r="109" spans="1:3" x14ac:dyDescent="0.2">
      <c r="A109">
        <v>81</v>
      </c>
      <c r="B109">
        <v>-1.0062115533521269E-2</v>
      </c>
      <c r="C109">
        <v>-3.157652297044751E-2</v>
      </c>
    </row>
    <row r="110" spans="1:3" x14ac:dyDescent="0.2">
      <c r="A110">
        <v>82</v>
      </c>
      <c r="B110">
        <v>4.2657235707048852E-3</v>
      </c>
      <c r="C110">
        <v>5.7714772435016621E-3</v>
      </c>
    </row>
    <row r="111" spans="1:3" x14ac:dyDescent="0.2">
      <c r="A111">
        <v>83</v>
      </c>
      <c r="B111">
        <v>-6.6898783014828619E-3</v>
      </c>
      <c r="C111">
        <v>1.2735743485638558E-2</v>
      </c>
    </row>
    <row r="112" spans="1:3" x14ac:dyDescent="0.2">
      <c r="A112">
        <v>84</v>
      </c>
      <c r="B112">
        <v>2.6157449797888119E-3</v>
      </c>
      <c r="C112">
        <v>2.9020643774787299E-2</v>
      </c>
    </row>
    <row r="113" spans="1:3" x14ac:dyDescent="0.2">
      <c r="A113">
        <v>85</v>
      </c>
      <c r="B113">
        <v>-6.4378203220794234E-3</v>
      </c>
      <c r="C113">
        <v>-1.2109216838951591E-2</v>
      </c>
    </row>
    <row r="114" spans="1:3" x14ac:dyDescent="0.2">
      <c r="A114">
        <v>86</v>
      </c>
      <c r="B114">
        <v>7.4268807637032173E-3</v>
      </c>
      <c r="C114">
        <v>-2.6324411122551697E-2</v>
      </c>
    </row>
    <row r="115" spans="1:3" x14ac:dyDescent="0.2">
      <c r="A115">
        <v>87</v>
      </c>
      <c r="B115">
        <v>-1.5065359005913126E-2</v>
      </c>
      <c r="C115">
        <v>-2.3882255848663107E-3</v>
      </c>
    </row>
    <row r="116" spans="1:3" x14ac:dyDescent="0.2">
      <c r="A116">
        <v>88</v>
      </c>
      <c r="B116">
        <v>2.0917363894773777E-2</v>
      </c>
      <c r="C116">
        <v>3.1311935468283508E-2</v>
      </c>
    </row>
    <row r="117" spans="1:3" x14ac:dyDescent="0.2">
      <c r="A117">
        <v>89</v>
      </c>
      <c r="B117">
        <v>6.2177112077206817E-3</v>
      </c>
      <c r="C117">
        <v>-2.4915585837798709E-2</v>
      </c>
    </row>
    <row r="118" spans="1:3" x14ac:dyDescent="0.2">
      <c r="A118">
        <v>90</v>
      </c>
      <c r="B118">
        <v>3.2960001570989036E-3</v>
      </c>
      <c r="C118">
        <v>0.10362654953447062</v>
      </c>
    </row>
    <row r="119" spans="1:3" x14ac:dyDescent="0.2">
      <c r="A119">
        <v>91</v>
      </c>
      <c r="B119">
        <v>4.891474101295235E-3</v>
      </c>
      <c r="C119">
        <v>8.6688974157326133E-3</v>
      </c>
    </row>
    <row r="120" spans="1:3" x14ac:dyDescent="0.2">
      <c r="A120">
        <v>92</v>
      </c>
      <c r="B120">
        <v>2.2029363774583016E-3</v>
      </c>
      <c r="C120">
        <v>1.4658203582221524E-2</v>
      </c>
    </row>
    <row r="121" spans="1:3" x14ac:dyDescent="0.2">
      <c r="A121">
        <v>93</v>
      </c>
      <c r="B121">
        <v>-2.5554309465012459E-3</v>
      </c>
      <c r="C121">
        <v>6.7608980537407597E-3</v>
      </c>
    </row>
    <row r="122" spans="1:3" x14ac:dyDescent="0.2">
      <c r="A122">
        <v>94</v>
      </c>
      <c r="B122">
        <v>1.1510169834036521E-3</v>
      </c>
      <c r="C122">
        <v>-1.1919787548764174E-2</v>
      </c>
    </row>
    <row r="123" spans="1:3" x14ac:dyDescent="0.2">
      <c r="A123">
        <v>95</v>
      </c>
      <c r="B123">
        <v>-7.6300097458313742E-3</v>
      </c>
      <c r="C123">
        <v>1.3073009443442536E-2</v>
      </c>
    </row>
    <row r="124" spans="1:3" x14ac:dyDescent="0.2">
      <c r="A124">
        <v>96</v>
      </c>
      <c r="B124">
        <v>1.9309681914959249E-3</v>
      </c>
      <c r="C124">
        <v>-2.3765554657661312E-2</v>
      </c>
    </row>
    <row r="125" spans="1:3" x14ac:dyDescent="0.2">
      <c r="A125">
        <v>97</v>
      </c>
      <c r="B125">
        <v>-9.5876382967349932E-5</v>
      </c>
      <c r="C125">
        <v>-6.9758245148312343E-3</v>
      </c>
    </row>
    <row r="126" spans="1:3" x14ac:dyDescent="0.2">
      <c r="A126">
        <v>98</v>
      </c>
      <c r="B126">
        <v>2.4435149168721992E-3</v>
      </c>
      <c r="C126">
        <v>-1.5764807928862279E-3</v>
      </c>
    </row>
    <row r="127" spans="1:3" x14ac:dyDescent="0.2">
      <c r="A127">
        <v>99</v>
      </c>
      <c r="B127">
        <v>-4.8276512792911931E-3</v>
      </c>
      <c r="C127">
        <v>-3.8351789911128999E-3</v>
      </c>
    </row>
    <row r="128" spans="1:3" x14ac:dyDescent="0.2">
      <c r="A128">
        <v>100</v>
      </c>
      <c r="B128">
        <v>-1.77585183258877E-3</v>
      </c>
      <c r="C128">
        <v>5.0215917988828953E-3</v>
      </c>
    </row>
    <row r="129" spans="1:3" x14ac:dyDescent="0.2">
      <c r="A129">
        <v>101</v>
      </c>
      <c r="B129">
        <v>6.863086214546745E-3</v>
      </c>
      <c r="C129">
        <v>2.0263150331213311E-2</v>
      </c>
    </row>
    <row r="130" spans="1:3" x14ac:dyDescent="0.2">
      <c r="A130">
        <v>102</v>
      </c>
      <c r="B130">
        <v>-2.8679462625508684E-4</v>
      </c>
      <c r="C130">
        <v>1.2401398781564313E-2</v>
      </c>
    </row>
    <row r="131" spans="1:3" x14ac:dyDescent="0.2">
      <c r="A131">
        <v>103</v>
      </c>
      <c r="B131">
        <v>6.0180604368577587E-3</v>
      </c>
      <c r="C131">
        <v>1.4150710883987323E-2</v>
      </c>
    </row>
    <row r="132" spans="1:3" x14ac:dyDescent="0.2">
      <c r="A132">
        <v>104</v>
      </c>
      <c r="B132">
        <v>-1.3902248966784125E-3</v>
      </c>
      <c r="C132">
        <v>-1.6795859815277439E-2</v>
      </c>
    </row>
    <row r="133" spans="1:3" x14ac:dyDescent="0.2">
      <c r="A133">
        <v>105</v>
      </c>
      <c r="B133">
        <v>-4.7507551867025785E-3</v>
      </c>
      <c r="C133">
        <v>1.0461662765687083E-3</v>
      </c>
    </row>
    <row r="134" spans="1:3" x14ac:dyDescent="0.2">
      <c r="A134">
        <v>106</v>
      </c>
      <c r="B134">
        <v>2.6888623903970187E-3</v>
      </c>
      <c r="C134">
        <v>-2.1040787543329741E-2</v>
      </c>
    </row>
    <row r="135" spans="1:3" x14ac:dyDescent="0.2">
      <c r="A135">
        <v>107</v>
      </c>
      <c r="B135">
        <v>1.1099349611237709E-2</v>
      </c>
      <c r="C135">
        <v>2.9773084406357585E-2</v>
      </c>
    </row>
    <row r="136" spans="1:3" x14ac:dyDescent="0.2">
      <c r="A136">
        <v>108</v>
      </c>
      <c r="B136">
        <v>-7.7965700042325354E-3</v>
      </c>
      <c r="C136">
        <v>9.2916377074063038E-4</v>
      </c>
    </row>
    <row r="137" spans="1:3" x14ac:dyDescent="0.2">
      <c r="A137">
        <v>109</v>
      </c>
      <c r="B137">
        <v>-3.0745942394491484E-3</v>
      </c>
      <c r="C137">
        <v>-5.1996374390377159E-3</v>
      </c>
    </row>
    <row r="138" spans="1:3" x14ac:dyDescent="0.2">
      <c r="A138">
        <v>110</v>
      </c>
      <c r="B138">
        <v>2.451771432169261E-3</v>
      </c>
      <c r="C138">
        <v>-3.8923761897008385E-2</v>
      </c>
    </row>
    <row r="139" spans="1:3" x14ac:dyDescent="0.2">
      <c r="A139">
        <v>111</v>
      </c>
      <c r="B139">
        <v>-3.7151509439654804E-3</v>
      </c>
      <c r="C139">
        <v>1.2188678900422708E-2</v>
      </c>
    </row>
    <row r="140" spans="1:3" x14ac:dyDescent="0.2">
      <c r="A140">
        <v>112</v>
      </c>
      <c r="B140">
        <v>-3.6629145552778209E-3</v>
      </c>
      <c r="C140">
        <v>-1.2773761311020902E-2</v>
      </c>
    </row>
    <row r="141" spans="1:3" x14ac:dyDescent="0.2">
      <c r="A141">
        <v>113</v>
      </c>
      <c r="B141">
        <v>-6.9665476318513482E-3</v>
      </c>
      <c r="C141">
        <v>2.9757762905779509E-3</v>
      </c>
    </row>
    <row r="142" spans="1:3" x14ac:dyDescent="0.2">
      <c r="A142">
        <v>114</v>
      </c>
      <c r="B142">
        <v>1.3602851774621848E-3</v>
      </c>
      <c r="C142">
        <v>8.7818296412944963E-3</v>
      </c>
    </row>
    <row r="143" spans="1:3" x14ac:dyDescent="0.2">
      <c r="A143">
        <v>115</v>
      </c>
      <c r="B143">
        <v>-1.040606953749844E-2</v>
      </c>
      <c r="C143">
        <v>6.6254683599342307E-3</v>
      </c>
    </row>
    <row r="144" spans="1:3" x14ac:dyDescent="0.2">
      <c r="A144">
        <v>116</v>
      </c>
      <c r="B144">
        <v>-9.6140338387013351E-3</v>
      </c>
      <c r="C144">
        <v>-2.0745553071837394E-2</v>
      </c>
    </row>
    <row r="145" spans="1:3" x14ac:dyDescent="0.2">
      <c r="A145">
        <v>117</v>
      </c>
      <c r="B145">
        <v>5.07601314340416E-3</v>
      </c>
      <c r="C145">
        <v>-7.8348993233092468E-3</v>
      </c>
    </row>
    <row r="146" spans="1:3" x14ac:dyDescent="0.2">
      <c r="A146">
        <v>118</v>
      </c>
      <c r="B146">
        <v>2.159443797683402E-3</v>
      </c>
      <c r="C146">
        <v>1.9581654154671242E-3</v>
      </c>
    </row>
    <row r="147" spans="1:3" x14ac:dyDescent="0.2">
      <c r="A147">
        <v>119</v>
      </c>
      <c r="B147">
        <v>1.1670375031443825E-2</v>
      </c>
      <c r="C147">
        <v>6.0780711785902008E-3</v>
      </c>
    </row>
    <row r="148" spans="1:3" x14ac:dyDescent="0.2">
      <c r="A148">
        <v>120</v>
      </c>
      <c r="B148">
        <v>-8.919698175184676E-3</v>
      </c>
      <c r="C148">
        <v>1.34525614338097E-2</v>
      </c>
    </row>
    <row r="149" spans="1:3" x14ac:dyDescent="0.2">
      <c r="A149">
        <v>121</v>
      </c>
      <c r="B149">
        <v>1.4695048715246902E-2</v>
      </c>
      <c r="C149">
        <v>-7.1911489724746716E-4</v>
      </c>
    </row>
    <row r="150" spans="1:3" x14ac:dyDescent="0.2">
      <c r="A150">
        <v>122</v>
      </c>
      <c r="B150">
        <v>-2.324336791812676E-3</v>
      </c>
      <c r="C150">
        <v>4.7008127540261999E-4</v>
      </c>
    </row>
    <row r="151" spans="1:3" x14ac:dyDescent="0.2">
      <c r="A151">
        <v>123</v>
      </c>
      <c r="B151">
        <v>5.0674054737984559E-3</v>
      </c>
      <c r="C151">
        <v>3.0538514397400997E-2</v>
      </c>
    </row>
    <row r="152" spans="1:3" x14ac:dyDescent="0.2">
      <c r="A152">
        <v>124</v>
      </c>
      <c r="B152">
        <v>-4.4892257017134906E-3</v>
      </c>
      <c r="C152">
        <v>-2.9294558082070321E-2</v>
      </c>
    </row>
    <row r="153" spans="1:3" x14ac:dyDescent="0.2">
      <c r="A153">
        <v>125</v>
      </c>
      <c r="B153">
        <v>7.0998068556678143E-4</v>
      </c>
      <c r="C153">
        <v>-1.2344364001365998E-2</v>
      </c>
    </row>
    <row r="154" spans="1:3" x14ac:dyDescent="0.2">
      <c r="A154">
        <v>126</v>
      </c>
      <c r="B154">
        <v>-9.5462546316258685E-3</v>
      </c>
      <c r="C154">
        <v>5.5389914671401461E-3</v>
      </c>
    </row>
    <row r="155" spans="1:3" x14ac:dyDescent="0.2">
      <c r="A155">
        <v>127</v>
      </c>
      <c r="B155">
        <v>7.2678173670095879E-3</v>
      </c>
      <c r="C155">
        <v>4.0479555631470184E-3</v>
      </c>
    </row>
    <row r="156" spans="1:3" x14ac:dyDescent="0.2">
      <c r="A156">
        <v>128</v>
      </c>
      <c r="B156">
        <v>2.6600458531814307E-3</v>
      </c>
      <c r="C156">
        <v>5.1102034164151374E-3</v>
      </c>
    </row>
    <row r="157" spans="1:3" x14ac:dyDescent="0.2">
      <c r="A157">
        <v>129</v>
      </c>
      <c r="B157">
        <v>-4.4807931239898542E-3</v>
      </c>
      <c r="C157">
        <v>-1.408570083110508E-2</v>
      </c>
    </row>
    <row r="158" spans="1:3" x14ac:dyDescent="0.2">
      <c r="A158">
        <v>130</v>
      </c>
      <c r="B158">
        <v>-4.6219293625069796E-3</v>
      </c>
      <c r="C158">
        <v>5.690372577892483E-3</v>
      </c>
    </row>
    <row r="159" spans="1:3" x14ac:dyDescent="0.2">
      <c r="A159">
        <v>131</v>
      </c>
      <c r="B159">
        <v>3.1101854817700975E-3</v>
      </c>
      <c r="C159">
        <v>8.3790159245584594E-3</v>
      </c>
    </row>
    <row r="160" spans="1:3" x14ac:dyDescent="0.2">
      <c r="A160">
        <v>132</v>
      </c>
      <c r="B160">
        <v>-2.4233964967720562E-3</v>
      </c>
      <c r="C160">
        <v>5.030311027217016E-3</v>
      </c>
    </row>
    <row r="161" spans="1:3" x14ac:dyDescent="0.2">
      <c r="A161">
        <v>133</v>
      </c>
      <c r="B161">
        <v>8.4348991728456068E-3</v>
      </c>
      <c r="C161">
        <v>2.5228176599409353E-3</v>
      </c>
    </row>
    <row r="162" spans="1:3" x14ac:dyDescent="0.2">
      <c r="A162">
        <v>134</v>
      </c>
      <c r="B162">
        <v>-2.0891947539961746E-2</v>
      </c>
      <c r="C162">
        <v>4.7253829349402227E-3</v>
      </c>
    </row>
    <row r="163" spans="1:3" x14ac:dyDescent="0.2">
      <c r="A163">
        <v>135</v>
      </c>
      <c r="B163">
        <v>9.6448587982761822E-3</v>
      </c>
      <c r="C163">
        <v>2.9905202630956668E-3</v>
      </c>
    </row>
    <row r="164" spans="1:3" x14ac:dyDescent="0.2">
      <c r="A164">
        <v>136</v>
      </c>
      <c r="B164">
        <v>1.3989005098940532E-3</v>
      </c>
      <c r="C164">
        <v>2.2276284716045234E-3</v>
      </c>
    </row>
    <row r="165" spans="1:3" x14ac:dyDescent="0.2">
      <c r="A165">
        <v>137</v>
      </c>
      <c r="B165">
        <v>2.1200859220268594E-2</v>
      </c>
      <c r="C165">
        <v>1.1748675321622607E-2</v>
      </c>
    </row>
    <row r="166" spans="1:3" x14ac:dyDescent="0.2">
      <c r="A166">
        <v>138</v>
      </c>
      <c r="B166">
        <v>5.9717965477645392E-3</v>
      </c>
      <c r="C166">
        <v>5.8863796647339794E-3</v>
      </c>
    </row>
    <row r="167" spans="1:3" x14ac:dyDescent="0.2">
      <c r="A167">
        <v>139</v>
      </c>
      <c r="B167">
        <v>7.8352534755114496E-4</v>
      </c>
      <c r="C167">
        <v>-2.7171946315074566E-3</v>
      </c>
    </row>
    <row r="168" spans="1:3" x14ac:dyDescent="0.2">
      <c r="A168">
        <v>140</v>
      </c>
      <c r="B168">
        <v>-5.3365689921780878E-3</v>
      </c>
      <c r="C168">
        <v>-2.5305125554060323E-3</v>
      </c>
    </row>
    <row r="169" spans="1:3" x14ac:dyDescent="0.2">
      <c r="A169">
        <v>141</v>
      </c>
      <c r="B169">
        <v>-3.6178956938433958E-3</v>
      </c>
      <c r="C169">
        <v>1.3736837643071039E-2</v>
      </c>
    </row>
    <row r="170" spans="1:3" x14ac:dyDescent="0.2">
      <c r="A170">
        <v>142</v>
      </c>
      <c r="B170">
        <v>5.3693124427260023E-4</v>
      </c>
      <c r="C170">
        <v>-2.3529827967037793E-3</v>
      </c>
    </row>
    <row r="171" spans="1:3" x14ac:dyDescent="0.2">
      <c r="A171">
        <v>143</v>
      </c>
      <c r="B171">
        <v>-5.4707505926193251E-3</v>
      </c>
      <c r="C171">
        <v>3.3054528983370059E-2</v>
      </c>
    </row>
    <row r="172" spans="1:3" x14ac:dyDescent="0.2">
      <c r="A172">
        <v>144</v>
      </c>
      <c r="B172">
        <v>-3.4618299384744547E-2</v>
      </c>
      <c r="C172">
        <v>-6.6415454684591202E-2</v>
      </c>
    </row>
    <row r="173" spans="1:3" x14ac:dyDescent="0.2">
      <c r="A173">
        <v>145</v>
      </c>
      <c r="B173">
        <v>3.4486644734126617E-3</v>
      </c>
      <c r="C173">
        <v>8.1777650056215432E-3</v>
      </c>
    </row>
    <row r="174" spans="1:3" x14ac:dyDescent="0.2">
      <c r="A174">
        <v>146</v>
      </c>
      <c r="B174">
        <v>-5.5814725342027555E-3</v>
      </c>
      <c r="C174">
        <v>-2.2679533557614116E-2</v>
      </c>
    </row>
    <row r="175" spans="1:3" x14ac:dyDescent="0.2">
      <c r="A175">
        <v>147</v>
      </c>
      <c r="B175">
        <v>-3.1770620720665051E-3</v>
      </c>
      <c r="C175">
        <v>-1.1235139828017446E-2</v>
      </c>
    </row>
    <row r="176" spans="1:3" x14ac:dyDescent="0.2">
      <c r="A176">
        <v>148</v>
      </c>
      <c r="B176">
        <v>1.1660146841082667E-2</v>
      </c>
      <c r="C176">
        <v>7.0939515195731617E-3</v>
      </c>
    </row>
    <row r="177" spans="1:3" x14ac:dyDescent="0.2">
      <c r="A177">
        <v>149</v>
      </c>
      <c r="B177">
        <v>7.8994156072003507E-3</v>
      </c>
      <c r="C177">
        <v>3.4934783165894382E-3</v>
      </c>
    </row>
    <row r="178" spans="1:3" x14ac:dyDescent="0.2">
      <c r="A178">
        <v>150</v>
      </c>
      <c r="B178">
        <v>-1.4106044914515689E-2</v>
      </c>
      <c r="C178">
        <v>-3.3052358954891788E-2</v>
      </c>
    </row>
    <row r="179" spans="1:3" x14ac:dyDescent="0.2">
      <c r="A179">
        <v>151</v>
      </c>
      <c r="B179">
        <v>-6.0469983642696583E-3</v>
      </c>
      <c r="C179">
        <v>2.4147452545407837E-2</v>
      </c>
    </row>
    <row r="180" spans="1:3" x14ac:dyDescent="0.2">
      <c r="A180">
        <v>152</v>
      </c>
      <c r="B180">
        <v>1.3714634075095867E-3</v>
      </c>
      <c r="C180">
        <v>-2.5054465441230071E-2</v>
      </c>
    </row>
    <row r="181" spans="1:3" x14ac:dyDescent="0.2">
      <c r="A181">
        <v>153</v>
      </c>
      <c r="B181">
        <v>-4.8983595525501434E-3</v>
      </c>
      <c r="C181">
        <v>5.3066703810312164E-4</v>
      </c>
    </row>
    <row r="182" spans="1:3" x14ac:dyDescent="0.2">
      <c r="A182">
        <v>154</v>
      </c>
      <c r="B182">
        <v>1.2326343796975584E-3</v>
      </c>
      <c r="C182">
        <v>-1.6417894553821876E-2</v>
      </c>
    </row>
    <row r="183" spans="1:3" x14ac:dyDescent="0.2">
      <c r="A183">
        <v>155</v>
      </c>
      <c r="B183">
        <v>-6.3414971492806041E-3</v>
      </c>
      <c r="C183">
        <v>8.9263646272087785E-2</v>
      </c>
    </row>
    <row r="184" spans="1:3" x14ac:dyDescent="0.2">
      <c r="A184">
        <v>156</v>
      </c>
      <c r="B184">
        <v>-2.1411223666386515E-2</v>
      </c>
      <c r="C184">
        <v>-1.4280460930500047E-2</v>
      </c>
    </row>
    <row r="185" spans="1:3" x14ac:dyDescent="0.2">
      <c r="A185">
        <v>157</v>
      </c>
      <c r="B185">
        <v>-1.6013139457990183E-2</v>
      </c>
      <c r="C185">
        <v>8.466217289726595E-3</v>
      </c>
    </row>
    <row r="186" spans="1:3" x14ac:dyDescent="0.2">
      <c r="A186">
        <v>158</v>
      </c>
      <c r="B186">
        <v>-2.598328821727364E-2</v>
      </c>
      <c r="C186">
        <v>1.1502034497773555E-2</v>
      </c>
    </row>
    <row r="187" spans="1:3" x14ac:dyDescent="0.2">
      <c r="A187">
        <v>159</v>
      </c>
      <c r="B187">
        <v>2.960778355075858E-2</v>
      </c>
      <c r="C187">
        <v>-3.7086960574680937E-3</v>
      </c>
    </row>
    <row r="188" spans="1:3" x14ac:dyDescent="0.2">
      <c r="A188">
        <v>160</v>
      </c>
      <c r="B188">
        <v>3.7498960942479573E-4</v>
      </c>
      <c r="C188">
        <v>-3.8766094907004937E-2</v>
      </c>
    </row>
    <row r="189" spans="1:3" x14ac:dyDescent="0.2">
      <c r="A189">
        <v>161</v>
      </c>
      <c r="B189">
        <v>2.7403810626180931E-2</v>
      </c>
      <c r="C189">
        <v>6.3988146883807127E-3</v>
      </c>
    </row>
    <row r="190" spans="1:3" x14ac:dyDescent="0.2">
      <c r="A190">
        <v>162</v>
      </c>
      <c r="B190">
        <v>5.1403667349991487E-3</v>
      </c>
      <c r="C190">
        <v>9.6622648439482189E-3</v>
      </c>
    </row>
    <row r="191" spans="1:3" x14ac:dyDescent="0.2">
      <c r="A191">
        <v>163</v>
      </c>
      <c r="B191">
        <v>-9.3508110739077138E-3</v>
      </c>
      <c r="C191">
        <v>-9.2553477591555237E-3</v>
      </c>
    </row>
    <row r="192" spans="1:3" x14ac:dyDescent="0.2">
      <c r="A192">
        <v>164</v>
      </c>
      <c r="B192">
        <v>-1.769658033186914E-2</v>
      </c>
      <c r="C192">
        <v>4.7423096384187804E-2</v>
      </c>
    </row>
    <row r="193" spans="1:3" x14ac:dyDescent="0.2">
      <c r="A193">
        <v>165</v>
      </c>
      <c r="B193">
        <v>4.1995763432968916E-2</v>
      </c>
      <c r="C193">
        <v>1.3752247857767533E-2</v>
      </c>
    </row>
    <row r="194" spans="1:3" x14ac:dyDescent="0.2">
      <c r="A194">
        <v>166</v>
      </c>
      <c r="B194">
        <v>-9.4298856618916904E-2</v>
      </c>
      <c r="C194">
        <v>-9.3044732710994005E-3</v>
      </c>
    </row>
    <row r="195" spans="1:3" x14ac:dyDescent="0.2">
      <c r="A195">
        <v>167</v>
      </c>
      <c r="B195">
        <v>1.8865274868262297E-2</v>
      </c>
      <c r="C195">
        <v>1.8098878215423581E-3</v>
      </c>
    </row>
    <row r="196" spans="1:3" x14ac:dyDescent="0.2">
      <c r="A196">
        <v>168</v>
      </c>
      <c r="B196">
        <v>6.7051862587206171E-3</v>
      </c>
      <c r="C196">
        <v>-2.3882572555991074E-3</v>
      </c>
    </row>
    <row r="197" spans="1:3" x14ac:dyDescent="0.2">
      <c r="A197">
        <v>169</v>
      </c>
      <c r="B197">
        <v>7.1700128534742058E-2</v>
      </c>
      <c r="C197">
        <v>-4.7496980802960567E-2</v>
      </c>
    </row>
    <row r="198" spans="1:3" x14ac:dyDescent="0.2">
      <c r="A198">
        <v>170</v>
      </c>
      <c r="B198">
        <v>5.8745387673398333E-2</v>
      </c>
      <c r="C198">
        <v>3.3455025549742168E-2</v>
      </c>
    </row>
    <row r="199" spans="1:3" x14ac:dyDescent="0.2">
      <c r="A199">
        <v>171</v>
      </c>
      <c r="B199">
        <v>-4.8622459539555424E-3</v>
      </c>
      <c r="C199">
        <v>-1.287244309782975E-2</v>
      </c>
    </row>
    <row r="200" spans="1:3" x14ac:dyDescent="0.2">
      <c r="A200">
        <v>172</v>
      </c>
      <c r="B200">
        <v>-2.2270273742661544E-3</v>
      </c>
      <c r="C200">
        <v>-7.5827944841835061E-3</v>
      </c>
    </row>
    <row r="201" spans="1:3" x14ac:dyDescent="0.2">
      <c r="A201">
        <v>173</v>
      </c>
      <c r="B201">
        <v>-4.9283337537928667E-3</v>
      </c>
      <c r="C201">
        <v>1.2815824014559413E-3</v>
      </c>
    </row>
    <row r="202" spans="1:3" x14ac:dyDescent="0.2">
      <c r="A202">
        <v>174</v>
      </c>
      <c r="B202">
        <v>2.5023778552075011E-2</v>
      </c>
      <c r="C202">
        <v>7.6121026167165103E-3</v>
      </c>
    </row>
    <row r="203" spans="1:3" x14ac:dyDescent="0.2">
      <c r="A203">
        <v>175</v>
      </c>
      <c r="B203">
        <v>5.0609190733179954E-3</v>
      </c>
      <c r="C203">
        <v>-1.4217346294490084E-2</v>
      </c>
    </row>
    <row r="204" spans="1:3" x14ac:dyDescent="0.2">
      <c r="A204">
        <v>176</v>
      </c>
      <c r="B204">
        <v>1.5333068484666481E-2</v>
      </c>
      <c r="C204">
        <v>-2.1652748923466948E-2</v>
      </c>
    </row>
    <row r="205" spans="1:3" x14ac:dyDescent="0.2">
      <c r="A205">
        <v>177</v>
      </c>
      <c r="B205">
        <v>-7.6560454282998292E-4</v>
      </c>
      <c r="C205">
        <v>1.5405311748686024E-2</v>
      </c>
    </row>
    <row r="206" spans="1:3" x14ac:dyDescent="0.2">
      <c r="A206">
        <v>178</v>
      </c>
      <c r="B206">
        <v>-1.7638751818275358E-2</v>
      </c>
      <c r="C206">
        <v>-1.0804273431562036E-2</v>
      </c>
    </row>
    <row r="207" spans="1:3" x14ac:dyDescent="0.2">
      <c r="A207">
        <v>179</v>
      </c>
      <c r="B207">
        <v>1.6449200001192885E-3</v>
      </c>
      <c r="C207">
        <v>-2.6355814704927576E-2</v>
      </c>
    </row>
    <row r="208" spans="1:3" x14ac:dyDescent="0.2">
      <c r="A208">
        <v>180</v>
      </c>
      <c r="B208">
        <v>4.5500699601445198E-3</v>
      </c>
      <c r="C208">
        <v>3.5627607937245703E-3</v>
      </c>
    </row>
    <row r="209" spans="1:3" x14ac:dyDescent="0.2">
      <c r="A209">
        <v>181</v>
      </c>
      <c r="B209">
        <v>-9.8607704739329081E-3</v>
      </c>
      <c r="C209">
        <v>7.6322202696492304E-3</v>
      </c>
    </row>
    <row r="210" spans="1:3" x14ac:dyDescent="0.2">
      <c r="A210">
        <v>182</v>
      </c>
      <c r="B210">
        <v>1.4024118692955457E-2</v>
      </c>
      <c r="C210">
        <v>1.0916940991868849E-2</v>
      </c>
    </row>
    <row r="211" spans="1:3" x14ac:dyDescent="0.2">
      <c r="A211">
        <v>183</v>
      </c>
      <c r="B211">
        <v>-6.6534931392572185E-3</v>
      </c>
      <c r="C211">
        <v>-1.5138274415222168E-2</v>
      </c>
    </row>
    <row r="212" spans="1:3" x14ac:dyDescent="0.2">
      <c r="A212">
        <v>184</v>
      </c>
      <c r="B212">
        <v>-2.0877439153511736E-2</v>
      </c>
      <c r="C212">
        <v>2.3785854995095886E-2</v>
      </c>
    </row>
    <row r="213" spans="1:3" x14ac:dyDescent="0.2">
      <c r="A213">
        <v>185</v>
      </c>
      <c r="B213">
        <v>1.6921881642551543E-2</v>
      </c>
      <c r="C213">
        <v>-7.2964111668311609E-3</v>
      </c>
    </row>
    <row r="214" spans="1:3" x14ac:dyDescent="0.2">
      <c r="A214">
        <v>186</v>
      </c>
      <c r="B214">
        <v>-3.5281539002365611E-3</v>
      </c>
      <c r="C214">
        <v>1.8623185373682745E-2</v>
      </c>
    </row>
    <row r="215" spans="1:3" x14ac:dyDescent="0.2">
      <c r="A215">
        <v>187</v>
      </c>
      <c r="B215">
        <v>1.1312341433376474E-2</v>
      </c>
      <c r="C215">
        <v>5.4190367777941978E-2</v>
      </c>
    </row>
    <row r="216" spans="1:3" x14ac:dyDescent="0.2">
      <c r="A216">
        <v>188</v>
      </c>
      <c r="B216">
        <v>3.2730984668367498E-2</v>
      </c>
      <c r="C216">
        <v>-2.3859925791658142E-2</v>
      </c>
    </row>
    <row r="217" spans="1:3" x14ac:dyDescent="0.2">
      <c r="A217">
        <v>189</v>
      </c>
      <c r="B217">
        <v>-4.1656048211560015E-3</v>
      </c>
      <c r="C217">
        <v>-6.8117124569174103E-3</v>
      </c>
    </row>
    <row r="218" spans="1:3" x14ac:dyDescent="0.2">
      <c r="A218">
        <v>190</v>
      </c>
      <c r="B218">
        <v>2.288437967096546E-2</v>
      </c>
      <c r="C218">
        <v>-2.883035622682939E-2</v>
      </c>
    </row>
    <row r="219" spans="1:3" x14ac:dyDescent="0.2">
      <c r="A219">
        <v>191</v>
      </c>
      <c r="B219">
        <v>-1.0639224407350618E-2</v>
      </c>
      <c r="C219">
        <v>4.4211833466067767E-4</v>
      </c>
    </row>
    <row r="220" spans="1:3" x14ac:dyDescent="0.2">
      <c r="A220">
        <v>192</v>
      </c>
      <c r="B220">
        <v>1.5764256080113202E-2</v>
      </c>
      <c r="C220">
        <v>-3.1303824425436874E-2</v>
      </c>
    </row>
    <row r="221" spans="1:3" x14ac:dyDescent="0.2">
      <c r="A221">
        <v>193</v>
      </c>
      <c r="B221">
        <v>2.1801878526516254E-2</v>
      </c>
      <c r="C221">
        <v>2.693882946737166E-3</v>
      </c>
    </row>
    <row r="222" spans="1:3" x14ac:dyDescent="0.2">
      <c r="A222">
        <v>194</v>
      </c>
      <c r="B222">
        <v>-1.5418586866277896E-2</v>
      </c>
      <c r="C222">
        <v>5.6034761609594832E-3</v>
      </c>
    </row>
    <row r="223" spans="1:3" x14ac:dyDescent="0.2">
      <c r="A223">
        <v>195</v>
      </c>
      <c r="B223">
        <v>2.0422517524554928E-2</v>
      </c>
      <c r="C223">
        <v>-1.5178165288501468E-2</v>
      </c>
    </row>
    <row r="224" spans="1:3" x14ac:dyDescent="0.2">
      <c r="A224">
        <v>196</v>
      </c>
      <c r="B224">
        <v>1.2400238408009818E-3</v>
      </c>
      <c r="C224">
        <v>2.2609084684108705E-2</v>
      </c>
    </row>
    <row r="225" spans="1:3" x14ac:dyDescent="0.2">
      <c r="A225">
        <v>197</v>
      </c>
      <c r="B225">
        <v>7.5875956674406339E-3</v>
      </c>
      <c r="C225">
        <v>4.059193066530944E-3</v>
      </c>
    </row>
    <row r="226" spans="1:3" x14ac:dyDescent="0.2">
      <c r="A226">
        <v>198</v>
      </c>
      <c r="B226">
        <v>7.330209104191826E-3</v>
      </c>
      <c r="C226">
        <v>-1.5964736142438207E-2</v>
      </c>
    </row>
    <row r="227" spans="1:3" x14ac:dyDescent="0.2">
      <c r="A227">
        <v>199</v>
      </c>
      <c r="B227">
        <v>2.1558301430516836E-2</v>
      </c>
      <c r="C227">
        <v>7.1847985208978379E-2</v>
      </c>
    </row>
    <row r="228" spans="1:3" x14ac:dyDescent="0.2">
      <c r="A228">
        <v>200</v>
      </c>
      <c r="B228">
        <v>6.7237301426346088E-3</v>
      </c>
      <c r="C228">
        <v>3.3104701229914324E-2</v>
      </c>
    </row>
    <row r="229" spans="1:3" x14ac:dyDescent="0.2">
      <c r="A229">
        <v>201</v>
      </c>
      <c r="B229">
        <v>-8.1073350328279175E-4</v>
      </c>
      <c r="C229">
        <v>2.1189833876490441E-2</v>
      </c>
    </row>
    <row r="230" spans="1:3" x14ac:dyDescent="0.2">
      <c r="A230">
        <v>202</v>
      </c>
      <c r="B230">
        <v>-1.3466890763822116E-3</v>
      </c>
      <c r="C230">
        <v>-1.2705960233016641E-2</v>
      </c>
    </row>
    <row r="231" spans="1:3" x14ac:dyDescent="0.2">
      <c r="A231">
        <v>203</v>
      </c>
      <c r="B231">
        <v>1.8901339319333567E-3</v>
      </c>
      <c r="C231">
        <v>-1.6460767249241168E-3</v>
      </c>
    </row>
    <row r="232" spans="1:3" x14ac:dyDescent="0.2">
      <c r="A232">
        <v>204</v>
      </c>
      <c r="B232">
        <v>-9.9113934953069961E-3</v>
      </c>
      <c r="C232">
        <v>-6.4364495653995938E-3</v>
      </c>
    </row>
    <row r="233" spans="1:3" x14ac:dyDescent="0.2">
      <c r="A233">
        <v>205</v>
      </c>
      <c r="B233">
        <v>5.6862341624405672E-3</v>
      </c>
      <c r="C233">
        <v>7.8574479331094578E-3</v>
      </c>
    </row>
    <row r="234" spans="1:3" x14ac:dyDescent="0.2">
      <c r="A234">
        <v>206</v>
      </c>
      <c r="B234">
        <v>9.2327190954782066E-4</v>
      </c>
      <c r="C234">
        <v>-2.0306531821442132E-2</v>
      </c>
    </row>
    <row r="235" spans="1:3" x14ac:dyDescent="0.2">
      <c r="A235">
        <v>207</v>
      </c>
      <c r="B235">
        <v>-6.1377718062165737E-3</v>
      </c>
      <c r="C235">
        <v>-1.657361882970242E-2</v>
      </c>
    </row>
    <row r="236" spans="1:3" x14ac:dyDescent="0.2">
      <c r="A236">
        <v>208</v>
      </c>
      <c r="B236">
        <v>1.3063526613814E-2</v>
      </c>
      <c r="C236">
        <v>-1.9754368842732753E-2</v>
      </c>
    </row>
    <row r="237" spans="1:3" x14ac:dyDescent="0.2">
      <c r="A237">
        <v>209</v>
      </c>
      <c r="B237">
        <v>-2.1338709323294818E-3</v>
      </c>
      <c r="C237">
        <v>-9.2297654313067776E-3</v>
      </c>
    </row>
    <row r="238" spans="1:3" x14ac:dyDescent="0.2">
      <c r="A238">
        <v>210</v>
      </c>
      <c r="B238">
        <v>-2.7047833750787204E-3</v>
      </c>
      <c r="C238">
        <v>-4.8889329070960781E-2</v>
      </c>
    </row>
    <row r="239" spans="1:3" x14ac:dyDescent="0.2">
      <c r="A239">
        <v>211</v>
      </c>
      <c r="B239">
        <v>-5.5373666210697097E-3</v>
      </c>
      <c r="C239">
        <v>-3.2369684488507428E-3</v>
      </c>
    </row>
    <row r="240" spans="1:3" x14ac:dyDescent="0.2">
      <c r="A240">
        <v>212</v>
      </c>
      <c r="B240">
        <v>9.4071620233469599E-3</v>
      </c>
      <c r="C240">
        <v>1.0122575182738801E-2</v>
      </c>
    </row>
    <row r="241" spans="1:3" x14ac:dyDescent="0.2">
      <c r="A241">
        <v>213</v>
      </c>
      <c r="B241">
        <v>8.0341237453961864E-3</v>
      </c>
      <c r="C241">
        <v>-1.6850896668201745E-3</v>
      </c>
    </row>
    <row r="242" spans="1:3" x14ac:dyDescent="0.2">
      <c r="A242">
        <v>214</v>
      </c>
      <c r="B242">
        <v>-3.9748942515181983E-3</v>
      </c>
      <c r="C242">
        <v>-1.0938574335721107E-3</v>
      </c>
    </row>
    <row r="243" spans="1:3" x14ac:dyDescent="0.2">
      <c r="A243">
        <v>215</v>
      </c>
      <c r="B243">
        <v>6.9368940198712937E-3</v>
      </c>
      <c r="C243">
        <v>1.5392519020072364E-2</v>
      </c>
    </row>
    <row r="244" spans="1:3" x14ac:dyDescent="0.2">
      <c r="A244">
        <v>216</v>
      </c>
      <c r="B244">
        <v>-7.5014202205139682E-3</v>
      </c>
      <c r="C244">
        <v>3.2364909591239714E-2</v>
      </c>
    </row>
    <row r="245" spans="1:3" x14ac:dyDescent="0.2">
      <c r="A245">
        <v>217</v>
      </c>
      <c r="B245">
        <v>1.7942685052201587E-2</v>
      </c>
      <c r="C245">
        <v>-3.7961307026130847E-2</v>
      </c>
    </row>
    <row r="246" spans="1:3" x14ac:dyDescent="0.2">
      <c r="A246">
        <v>218</v>
      </c>
      <c r="B246">
        <v>5.3508495965045666E-3</v>
      </c>
      <c r="C246">
        <v>-1.5503745371221495E-3</v>
      </c>
    </row>
    <row r="247" spans="1:3" x14ac:dyDescent="0.2">
      <c r="A247">
        <v>219</v>
      </c>
      <c r="B247">
        <v>-4.31656104262547E-3</v>
      </c>
      <c r="C247">
        <v>-1.0039015546741886E-2</v>
      </c>
    </row>
    <row r="248" spans="1:3" x14ac:dyDescent="0.2">
      <c r="A248">
        <v>220</v>
      </c>
      <c r="B248">
        <v>-4.4743488064342349E-3</v>
      </c>
      <c r="C248">
        <v>1.3170464896916499E-2</v>
      </c>
    </row>
    <row r="249" spans="1:3" x14ac:dyDescent="0.2">
      <c r="A249">
        <v>221</v>
      </c>
      <c r="B249">
        <v>-8.2890380531610887E-3</v>
      </c>
      <c r="C249">
        <v>3.6875676982660519E-3</v>
      </c>
    </row>
    <row r="250" spans="1:3" x14ac:dyDescent="0.2">
      <c r="A250">
        <v>222</v>
      </c>
      <c r="B250">
        <v>-8.8403310854872613E-3</v>
      </c>
      <c r="C250">
        <v>1.0753189746486272E-2</v>
      </c>
    </row>
    <row r="251" spans="1:3" x14ac:dyDescent="0.2">
      <c r="A251">
        <v>223</v>
      </c>
      <c r="B251">
        <v>3.6136895960272443E-3</v>
      </c>
      <c r="C251">
        <v>-1.9735878819616512E-2</v>
      </c>
    </row>
    <row r="252" spans="1:3" x14ac:dyDescent="0.2">
      <c r="A252">
        <v>224</v>
      </c>
      <c r="B252">
        <v>-1.8441799377153904E-2</v>
      </c>
      <c r="C252">
        <v>1.1390826889261761E-3</v>
      </c>
    </row>
    <row r="253" spans="1:3" x14ac:dyDescent="0.2">
      <c r="A253">
        <v>225</v>
      </c>
      <c r="B253">
        <v>4.9803491870134271E-4</v>
      </c>
      <c r="C253">
        <v>-1.656956143946272E-2</v>
      </c>
    </row>
    <row r="254" spans="1:3" x14ac:dyDescent="0.2">
      <c r="A254">
        <v>226</v>
      </c>
      <c r="B254">
        <v>4.7480791643812791E-4</v>
      </c>
      <c r="C254">
        <v>-2.4056032133184642E-2</v>
      </c>
    </row>
    <row r="255" spans="1:3" x14ac:dyDescent="0.2">
      <c r="A255">
        <v>227</v>
      </c>
      <c r="B255">
        <v>1.9448799146584175E-2</v>
      </c>
      <c r="C255">
        <v>-1.4642145048484878E-3</v>
      </c>
    </row>
    <row r="256" spans="1:3" x14ac:dyDescent="0.2">
      <c r="A256">
        <v>228</v>
      </c>
      <c r="B256">
        <v>3.8953818927392784E-4</v>
      </c>
      <c r="C256">
        <v>5.4994130165588418E-3</v>
      </c>
    </row>
    <row r="257" spans="1:3" x14ac:dyDescent="0.2">
      <c r="A257">
        <v>229</v>
      </c>
      <c r="B257">
        <v>1.4850086168189209E-2</v>
      </c>
      <c r="C257">
        <v>-3.6429492849998062E-3</v>
      </c>
    </row>
    <row r="258" spans="1:3" x14ac:dyDescent="0.2">
      <c r="A258">
        <v>230</v>
      </c>
      <c r="B258">
        <v>-4.6335336752532192E-3</v>
      </c>
      <c r="C258">
        <v>-4.9606436516105275E-3</v>
      </c>
    </row>
    <row r="259" spans="1:3" x14ac:dyDescent="0.2">
      <c r="A259">
        <v>231</v>
      </c>
      <c r="B259">
        <v>-1.2536142578146123E-2</v>
      </c>
      <c r="C259">
        <v>-1.6135497551015468E-2</v>
      </c>
    </row>
    <row r="260" spans="1:3" x14ac:dyDescent="0.2">
      <c r="A260">
        <v>232</v>
      </c>
      <c r="B260">
        <v>4.7851006329413422E-3</v>
      </c>
      <c r="C260">
        <v>-9.4489887905822465E-4</v>
      </c>
    </row>
    <row r="261" spans="1:3" x14ac:dyDescent="0.2">
      <c r="A261">
        <v>233</v>
      </c>
      <c r="B261">
        <v>6.5201095111336324E-3</v>
      </c>
      <c r="C261">
        <v>-1.5526549033912287E-3</v>
      </c>
    </row>
    <row r="262" spans="1:3" x14ac:dyDescent="0.2">
      <c r="A262">
        <v>234</v>
      </c>
      <c r="B262">
        <v>1.469068645898321E-2</v>
      </c>
      <c r="C262">
        <v>1.9560949738899602E-3</v>
      </c>
    </row>
    <row r="263" spans="1:3" x14ac:dyDescent="0.2">
      <c r="A263">
        <v>235</v>
      </c>
      <c r="B263">
        <v>1.3816344679236951E-2</v>
      </c>
      <c r="C263">
        <v>-7.1101861903580602E-3</v>
      </c>
    </row>
    <row r="264" spans="1:3" x14ac:dyDescent="0.2">
      <c r="A264">
        <v>236</v>
      </c>
      <c r="B264">
        <v>1.9516761210950264E-3</v>
      </c>
      <c r="C264">
        <v>-1.2300151907074174E-3</v>
      </c>
    </row>
    <row r="265" spans="1:3" x14ac:dyDescent="0.2">
      <c r="A265">
        <v>237</v>
      </c>
      <c r="B265">
        <v>-9.6238455319396215E-3</v>
      </c>
      <c r="C265">
        <v>1.8577169470391629E-3</v>
      </c>
    </row>
    <row r="266" spans="1:3" x14ac:dyDescent="0.2">
      <c r="A266">
        <v>238</v>
      </c>
      <c r="B266">
        <v>-6.1235060789488673E-3</v>
      </c>
      <c r="C266">
        <v>1.2832288993914981E-2</v>
      </c>
    </row>
    <row r="267" spans="1:3" x14ac:dyDescent="0.2">
      <c r="A267">
        <v>239</v>
      </c>
      <c r="B267">
        <v>-1.0774460464247695E-2</v>
      </c>
      <c r="C267">
        <v>4.5927456521336674E-2</v>
      </c>
    </row>
    <row r="268" spans="1:3" x14ac:dyDescent="0.2">
      <c r="A268">
        <v>240</v>
      </c>
      <c r="B268">
        <v>2.357150215421907E-3</v>
      </c>
      <c r="C268">
        <v>1.910207725238925E-2</v>
      </c>
    </row>
    <row r="269" spans="1:3" x14ac:dyDescent="0.2">
      <c r="A269">
        <v>241</v>
      </c>
      <c r="B269">
        <v>3.6247034047883105E-2</v>
      </c>
      <c r="C269">
        <v>1.3580079689236024E-3</v>
      </c>
    </row>
    <row r="270" spans="1:3" x14ac:dyDescent="0.2">
      <c r="A270">
        <v>242</v>
      </c>
      <c r="B270">
        <v>6.7069997697419195E-3</v>
      </c>
      <c r="C270">
        <v>-7.1625575749656662E-3</v>
      </c>
    </row>
    <row r="271" spans="1:3" x14ac:dyDescent="0.2">
      <c r="A271">
        <v>243</v>
      </c>
      <c r="B271">
        <v>-2.4956135183811061E-3</v>
      </c>
      <c r="C271">
        <v>1.1560281569224232E-2</v>
      </c>
    </row>
    <row r="272" spans="1:3" x14ac:dyDescent="0.2">
      <c r="A272">
        <v>244</v>
      </c>
      <c r="B272">
        <v>2.0136459195292003E-3</v>
      </c>
      <c r="C272">
        <v>9.6796191612698191E-3</v>
      </c>
    </row>
    <row r="273" spans="1:3" x14ac:dyDescent="0.2">
      <c r="A273">
        <v>245</v>
      </c>
      <c r="B273">
        <v>7.8006589526550254E-3</v>
      </c>
      <c r="C273">
        <v>9.2993284257286788E-4</v>
      </c>
    </row>
    <row r="274" spans="1:3" x14ac:dyDescent="0.2">
      <c r="A274">
        <v>246</v>
      </c>
      <c r="B274">
        <v>-6.6020549523373899E-3</v>
      </c>
      <c r="C274">
        <v>7.9298149720079588E-3</v>
      </c>
    </row>
    <row r="275" spans="1:3" x14ac:dyDescent="0.2">
      <c r="A275">
        <v>247</v>
      </c>
      <c r="B275">
        <v>5.1628805907786759E-3</v>
      </c>
      <c r="C275">
        <v>-1.081065585843414E-2</v>
      </c>
    </row>
    <row r="276" spans="1:3" ht="17" thickBot="1" x14ac:dyDescent="0.25">
      <c r="A276" s="12">
        <v>248</v>
      </c>
      <c r="B276" s="12">
        <v>7.8806198590626163E-3</v>
      </c>
      <c r="C276" s="12">
        <v>-1.2424502903464195E-2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3BC9-FF60-8249-8A11-AF59CBFAB87A}">
  <dimension ref="A2:F112"/>
  <sheetViews>
    <sheetView zoomScale="125" workbookViewId="0">
      <selection activeCell="B6" sqref="B6"/>
    </sheetView>
  </sheetViews>
  <sheetFormatPr baseColWidth="10" defaultRowHeight="16" x14ac:dyDescent="0.2"/>
  <cols>
    <col min="1" max="1" width="22.83203125" style="1" bestFit="1" customWidth="1"/>
    <col min="2" max="3" width="10.83203125" style="1"/>
    <col min="4" max="4" width="12.6640625" style="1" bestFit="1" customWidth="1"/>
    <col min="5" max="16384" width="10.83203125" style="1"/>
  </cols>
  <sheetData>
    <row r="2" spans="1:6" x14ac:dyDescent="0.2">
      <c r="A2" s="1" t="s">
        <v>107</v>
      </c>
    </row>
    <row r="4" spans="1:6" x14ac:dyDescent="0.2">
      <c r="A4" s="1" t="s">
        <v>93</v>
      </c>
      <c r="B4" s="1">
        <v>155.15</v>
      </c>
      <c r="D4" s="1" t="s">
        <v>104</v>
      </c>
      <c r="E4" s="1">
        <v>-0.1173498921674247</v>
      </c>
    </row>
    <row r="5" spans="1:6" x14ac:dyDescent="0.2">
      <c r="A5" s="1" t="s">
        <v>94</v>
      </c>
      <c r="B5" s="1">
        <f>1/100</f>
        <v>0.01</v>
      </c>
      <c r="D5" s="1" t="s">
        <v>105</v>
      </c>
      <c r="E5" s="1">
        <v>4.1399999999999999E-2</v>
      </c>
    </row>
    <row r="6" spans="1:6" x14ac:dyDescent="0.2">
      <c r="A6" s="1" t="s">
        <v>95</v>
      </c>
      <c r="B6" s="1">
        <v>-0.13863016544245896</v>
      </c>
      <c r="D6" s="1" t="s">
        <v>106</v>
      </c>
      <c r="E6" s="1">
        <v>1.1340490565662293</v>
      </c>
    </row>
    <row r="7" spans="1:6" x14ac:dyDescent="0.2">
      <c r="A7" s="1" t="s">
        <v>96</v>
      </c>
      <c r="B7" s="1">
        <v>0.39642786722330753</v>
      </c>
    </row>
    <row r="8" spans="1:6" x14ac:dyDescent="0.2">
      <c r="A8" s="1" t="s">
        <v>103</v>
      </c>
      <c r="B8" s="1">
        <f>B6-(1/2*(B7^2))</f>
        <v>-0.21720769239806914</v>
      </c>
    </row>
    <row r="11" spans="1:6" ht="68" x14ac:dyDescent="0.2">
      <c r="A11" s="1" t="s">
        <v>97</v>
      </c>
      <c r="B11" s="18" t="s">
        <v>98</v>
      </c>
      <c r="C11" s="18" t="s">
        <v>99</v>
      </c>
      <c r="D11" s="18" t="s">
        <v>100</v>
      </c>
      <c r="E11" s="18" t="s">
        <v>101</v>
      </c>
      <c r="F11" s="18" t="s">
        <v>102</v>
      </c>
    </row>
    <row r="12" spans="1:6" x14ac:dyDescent="0.2">
      <c r="A12" s="1">
        <v>0</v>
      </c>
      <c r="D12" s="1">
        <f>B4</f>
        <v>155.15</v>
      </c>
      <c r="E12" s="1">
        <f>D12</f>
        <v>155.15</v>
      </c>
      <c r="F12" s="1">
        <f>D12-E12</f>
        <v>0</v>
      </c>
    </row>
    <row r="13" spans="1:6" x14ac:dyDescent="0.2">
      <c r="A13" s="1">
        <v>1</v>
      </c>
      <c r="B13" s="1">
        <f ca="1">RAND()</f>
        <v>0.45907087258399382</v>
      </c>
      <c r="C13" s="1">
        <f ca="1">_xlfn.NORM.S.INV(B13)</f>
        <v>-0.10277475067637931</v>
      </c>
      <c r="D13" s="1">
        <f ca="1">D12*EXP($B$8*$B$5*$B$7*C13*SQRT($B$5))</f>
        <v>155.15137302837093</v>
      </c>
      <c r="E13" s="1">
        <f>E12*EXP($B$8*$B$5)</f>
        <v>154.81336799290182</v>
      </c>
      <c r="F13" s="1">
        <f t="shared" ref="F13:F76" ca="1" si="0">D13-E13</f>
        <v>0.33800503546910932</v>
      </c>
    </row>
    <row r="14" spans="1:6" x14ac:dyDescent="0.2">
      <c r="A14" s="1">
        <v>2</v>
      </c>
      <c r="B14" s="1">
        <f t="shared" ref="B14:B77" ca="1" si="1">RAND()</f>
        <v>8.7716930357348843E-2</v>
      </c>
      <c r="C14" s="1">
        <f t="shared" ref="C14:C77" ca="1" si="2">_xlfn.NORM.S.INV(B14)</f>
        <v>-1.354948829643726</v>
      </c>
      <c r="D14" s="1">
        <f t="shared" ref="D14:D77" ca="1" si="3">D13*EXP($B$8*$B$5*$B$7*C14*SQRT($B$5))</f>
        <v>155.16947572319418</v>
      </c>
      <c r="E14" s="1">
        <f t="shared" ref="E14:E77" si="4">E13*EXP($B$8*$B$5)</f>
        <v>154.47746638289163</v>
      </c>
      <c r="F14" s="1">
        <f t="shared" ca="1" si="0"/>
        <v>0.69200934030254757</v>
      </c>
    </row>
    <row r="15" spans="1:6" x14ac:dyDescent="0.2">
      <c r="A15" s="1">
        <v>3</v>
      </c>
      <c r="B15" s="1">
        <f t="shared" ca="1" si="1"/>
        <v>0.22176903885755406</v>
      </c>
      <c r="C15" s="1">
        <f t="shared" ca="1" si="2"/>
        <v>-0.76623232501039151</v>
      </c>
      <c r="D15" s="1">
        <f t="shared" ca="1" si="3"/>
        <v>155.17971384912352</v>
      </c>
      <c r="E15" s="1">
        <f t="shared" si="4"/>
        <v>154.14229358521251</v>
      </c>
      <c r="F15" s="1">
        <f t="shared" ca="1" si="0"/>
        <v>1.0374202639110024</v>
      </c>
    </row>
    <row r="16" spans="1:6" x14ac:dyDescent="0.2">
      <c r="A16" s="1">
        <v>4</v>
      </c>
      <c r="B16" s="1">
        <f t="shared" ca="1" si="1"/>
        <v>0.41230592537352728</v>
      </c>
      <c r="C16" s="1">
        <f t="shared" ca="1" si="2"/>
        <v>-0.22161725268134519</v>
      </c>
      <c r="D16" s="1">
        <f t="shared" ca="1" si="3"/>
        <v>155.18267514658902</v>
      </c>
      <c r="E16" s="1">
        <f t="shared" si="4"/>
        <v>153.807848018546</v>
      </c>
      <c r="F16" s="1">
        <f t="shared" ca="1" si="0"/>
        <v>1.3748271280430231</v>
      </c>
    </row>
    <row r="17" spans="1:6" x14ac:dyDescent="0.2">
      <c r="A17" s="1">
        <v>5</v>
      </c>
      <c r="B17" s="1">
        <f t="shared" ca="1" si="1"/>
        <v>0.32964836981689094</v>
      </c>
      <c r="C17" s="1">
        <f t="shared" ca="1" si="2"/>
        <v>-0.4408843284574957</v>
      </c>
      <c r="D17" s="1">
        <f t="shared" ca="1" si="3"/>
        <v>155.18856650598758</v>
      </c>
      <c r="E17" s="1">
        <f t="shared" si="4"/>
        <v>153.47412810500467</v>
      </c>
      <c r="F17" s="1">
        <f t="shared" ca="1" si="0"/>
        <v>1.7144384009829139</v>
      </c>
    </row>
    <row r="18" spans="1:6" x14ac:dyDescent="0.2">
      <c r="A18" s="1">
        <v>6</v>
      </c>
      <c r="B18" s="1">
        <f t="shared" ca="1" si="1"/>
        <v>0.95544180474461959</v>
      </c>
      <c r="C18" s="1">
        <f t="shared" ca="1" si="2"/>
        <v>1.700077278594986</v>
      </c>
      <c r="D18" s="1">
        <f t="shared" ca="1" si="3"/>
        <v>155.16585029076376</v>
      </c>
      <c r="E18" s="1">
        <f t="shared" si="4"/>
        <v>153.14113227012467</v>
      </c>
      <c r="F18" s="1">
        <f t="shared" ca="1" si="0"/>
        <v>2.0247180206390851</v>
      </c>
    </row>
    <row r="19" spans="1:6" x14ac:dyDescent="0.2">
      <c r="A19" s="1">
        <v>7</v>
      </c>
      <c r="B19" s="1">
        <f t="shared" ca="1" si="1"/>
        <v>0.57387882618511243</v>
      </c>
      <c r="C19" s="1">
        <f t="shared" ca="1" si="2"/>
        <v>0.1862581206175781</v>
      </c>
      <c r="D19" s="1">
        <f t="shared" ca="1" si="3"/>
        <v>155.16336173568584</v>
      </c>
      <c r="E19" s="1">
        <f t="shared" si="4"/>
        <v>152.80885894285828</v>
      </c>
      <c r="F19" s="1">
        <f t="shared" ca="1" si="0"/>
        <v>2.3545027928275601</v>
      </c>
    </row>
    <row r="20" spans="1:6" x14ac:dyDescent="0.2">
      <c r="A20" s="1">
        <v>8</v>
      </c>
      <c r="B20" s="1">
        <f t="shared" ca="1" si="1"/>
        <v>0.137055165020047</v>
      </c>
      <c r="C20" s="1">
        <f t="shared" ca="1" si="2"/>
        <v>-1.0936458544240173</v>
      </c>
      <c r="D20" s="1">
        <f t="shared" ca="1" si="3"/>
        <v>155.17797427586007</v>
      </c>
      <c r="E20" s="1">
        <f t="shared" si="4"/>
        <v>152.47730655556651</v>
      </c>
      <c r="F20" s="1">
        <f t="shared" ca="1" si="0"/>
        <v>2.7006677202935521</v>
      </c>
    </row>
    <row r="21" spans="1:6" x14ac:dyDescent="0.2">
      <c r="A21" s="1">
        <v>9</v>
      </c>
      <c r="B21" s="1">
        <f t="shared" ca="1" si="1"/>
        <v>0.38976237887475473</v>
      </c>
      <c r="C21" s="1">
        <f t="shared" ca="1" si="2"/>
        <v>-0.27993841022076493</v>
      </c>
      <c r="D21" s="1">
        <f t="shared" ca="1" si="3"/>
        <v>155.18171484065473</v>
      </c>
      <c r="E21" s="1">
        <f t="shared" si="4"/>
        <v>152.14647354401171</v>
      </c>
      <c r="F21" s="1">
        <f t="shared" ca="1" si="0"/>
        <v>3.0352412966430222</v>
      </c>
    </row>
    <row r="22" spans="1:6" x14ac:dyDescent="0.2">
      <c r="A22" s="1">
        <v>10</v>
      </c>
      <c r="B22" s="1">
        <f t="shared" ca="1" si="1"/>
        <v>0.75506295228836928</v>
      </c>
      <c r="C22" s="1">
        <f t="shared" ca="1" si="2"/>
        <v>0.69050909021885509</v>
      </c>
      <c r="D22" s="1">
        <f t="shared" ca="1" si="3"/>
        <v>155.17248835281652</v>
      </c>
      <c r="E22" s="1">
        <f t="shared" si="4"/>
        <v>151.81635834735022</v>
      </c>
      <c r="F22" s="1">
        <f t="shared" ca="1" si="0"/>
        <v>3.3561300054662979</v>
      </c>
    </row>
    <row r="23" spans="1:6" x14ac:dyDescent="0.2">
      <c r="A23" s="1">
        <v>11</v>
      </c>
      <c r="B23" s="1">
        <f t="shared" ca="1" si="1"/>
        <v>0.1524915406976145</v>
      </c>
      <c r="C23" s="1">
        <f t="shared" ca="1" si="2"/>
        <v>-1.0258059065829046</v>
      </c>
      <c r="D23" s="1">
        <f t="shared" ca="1" si="3"/>
        <v>155.18619522863673</v>
      </c>
      <c r="E23" s="1">
        <f t="shared" si="4"/>
        <v>151.4869594081249</v>
      </c>
      <c r="F23" s="1">
        <f t="shared" ca="1" si="0"/>
        <v>3.6992358205118308</v>
      </c>
    </row>
    <row r="24" spans="1:6" x14ac:dyDescent="0.2">
      <c r="A24" s="1">
        <v>12</v>
      </c>
      <c r="B24" s="1">
        <f t="shared" ca="1" si="1"/>
        <v>8.3079899387026312E-3</v>
      </c>
      <c r="C24" s="1">
        <f t="shared" ca="1" si="2"/>
        <v>-2.3950967567035137</v>
      </c>
      <c r="D24" s="1">
        <f t="shared" ca="1" si="3"/>
        <v>155.21820335920336</v>
      </c>
      <c r="E24" s="1">
        <f t="shared" si="4"/>
        <v>151.15827517225796</v>
      </c>
      <c r="F24" s="1">
        <f t="shared" ca="1" si="0"/>
        <v>4.0599281869453989</v>
      </c>
    </row>
    <row r="25" spans="1:6" x14ac:dyDescent="0.2">
      <c r="A25" s="1">
        <v>13</v>
      </c>
      <c r="B25" s="1">
        <f t="shared" ca="1" si="1"/>
        <v>0.78479568845432368</v>
      </c>
      <c r="C25" s="1">
        <f t="shared" ca="1" si="2"/>
        <v>0.78849260389155196</v>
      </c>
      <c r="D25" s="1">
        <f t="shared" ca="1" si="3"/>
        <v>155.20766519622831</v>
      </c>
      <c r="E25" s="1">
        <f t="shared" si="4"/>
        <v>150.83030408904341</v>
      </c>
      <c r="F25" s="1">
        <f t="shared" ca="1" si="0"/>
        <v>4.3773611071848961</v>
      </c>
    </row>
    <row r="26" spans="1:6" x14ac:dyDescent="0.2">
      <c r="A26" s="1">
        <v>14</v>
      </c>
      <c r="B26" s="1">
        <f t="shared" ca="1" si="1"/>
        <v>0.91227237916547443</v>
      </c>
      <c r="C26" s="1">
        <f t="shared" ca="1" si="2"/>
        <v>1.3548817292707815</v>
      </c>
      <c r="D26" s="1">
        <f t="shared" ca="1" si="3"/>
        <v>155.18955894272557</v>
      </c>
      <c r="E26" s="1">
        <f t="shared" si="4"/>
        <v>150.50304461113993</v>
      </c>
      <c r="F26" s="1">
        <f t="shared" ca="1" si="0"/>
        <v>4.6865143315856415</v>
      </c>
    </row>
    <row r="27" spans="1:6" x14ac:dyDescent="0.2">
      <c r="A27" s="1">
        <v>15</v>
      </c>
      <c r="B27" s="1">
        <f t="shared" ca="1" si="1"/>
        <v>0.16051611521743714</v>
      </c>
      <c r="C27" s="1">
        <f t="shared" ca="1" si="2"/>
        <v>-0.99233890611004671</v>
      </c>
      <c r="D27" s="1">
        <f t="shared" ca="1" si="3"/>
        <v>155.20282007021203</v>
      </c>
      <c r="E27" s="1">
        <f t="shared" si="4"/>
        <v>150.17649519456347</v>
      </c>
      <c r="F27" s="1">
        <f t="shared" ca="1" si="0"/>
        <v>5.0263248756485552</v>
      </c>
    </row>
    <row r="28" spans="1:6" x14ac:dyDescent="0.2">
      <c r="A28" s="1">
        <v>16</v>
      </c>
      <c r="B28" s="1">
        <f t="shared" ca="1" si="1"/>
        <v>0.79678213792932739</v>
      </c>
      <c r="C28" s="1">
        <f t="shared" ca="1" si="2"/>
        <v>0.83018229452427206</v>
      </c>
      <c r="D28" s="1">
        <f t="shared" ca="1" si="3"/>
        <v>155.19172584621683</v>
      </c>
      <c r="E28" s="1">
        <f t="shared" si="4"/>
        <v>149.85065429868001</v>
      </c>
      <c r="F28" s="1">
        <f t="shared" ca="1" si="0"/>
        <v>5.3410715475368136</v>
      </c>
    </row>
    <row r="29" spans="1:6" x14ac:dyDescent="0.2">
      <c r="A29" s="1">
        <v>17</v>
      </c>
      <c r="B29" s="1">
        <f t="shared" ca="1" si="1"/>
        <v>0.45375958389385762</v>
      </c>
      <c r="C29" s="1">
        <f t="shared" ca="1" si="2"/>
        <v>-0.11616828961487963</v>
      </c>
      <c r="D29" s="1">
        <f t="shared" ca="1" si="3"/>
        <v>155.19327822503317</v>
      </c>
      <c r="E29" s="1">
        <f t="shared" si="4"/>
        <v>149.52552038619828</v>
      </c>
      <c r="F29" s="1">
        <f t="shared" ca="1" si="0"/>
        <v>5.6677578388348877</v>
      </c>
    </row>
    <row r="30" spans="1:6" x14ac:dyDescent="0.2">
      <c r="A30" s="1">
        <v>18</v>
      </c>
      <c r="B30" s="1">
        <f t="shared" ca="1" si="1"/>
        <v>0.59741630954088609</v>
      </c>
      <c r="C30" s="1">
        <f t="shared" ca="1" si="2"/>
        <v>0.2466651482246805</v>
      </c>
      <c r="D30" s="1">
        <f t="shared" ca="1" si="3"/>
        <v>155.18998201054342</v>
      </c>
      <c r="E30" s="1">
        <f t="shared" si="4"/>
        <v>149.20109192316247</v>
      </c>
      <c r="F30" s="1">
        <f t="shared" ca="1" si="0"/>
        <v>5.9888900873809519</v>
      </c>
    </row>
    <row r="31" spans="1:6" x14ac:dyDescent="0.2">
      <c r="A31" s="1">
        <v>19</v>
      </c>
      <c r="B31" s="1">
        <f t="shared" ca="1" si="1"/>
        <v>0.54280467274144117</v>
      </c>
      <c r="C31" s="1">
        <f t="shared" ca="1" si="2"/>
        <v>0.10750210617998551</v>
      </c>
      <c r="D31" s="1">
        <f t="shared" ca="1" si="3"/>
        <v>155.18854546955063</v>
      </c>
      <c r="E31" s="1">
        <f t="shared" si="4"/>
        <v>148.87736737894502</v>
      </c>
      <c r="F31" s="1">
        <f t="shared" ca="1" si="0"/>
        <v>6.3111780906056083</v>
      </c>
    </row>
    <row r="32" spans="1:6" x14ac:dyDescent="0.2">
      <c r="A32" s="1">
        <v>20</v>
      </c>
      <c r="B32" s="1">
        <f t="shared" ca="1" si="1"/>
        <v>0.92095894689641933</v>
      </c>
      <c r="C32" s="1">
        <f t="shared" ca="1" si="2"/>
        <v>1.4115513484119424</v>
      </c>
      <c r="D32" s="1">
        <f t="shared" ca="1" si="3"/>
        <v>155.16968426918291</v>
      </c>
      <c r="E32" s="1">
        <f t="shared" si="4"/>
        <v>148.55434522623946</v>
      </c>
      <c r="F32" s="1">
        <f t="shared" ca="1" si="0"/>
        <v>6.6153390429434467</v>
      </c>
    </row>
    <row r="33" spans="1:6" x14ac:dyDescent="0.2">
      <c r="A33" s="1">
        <v>21</v>
      </c>
      <c r="B33" s="1">
        <f t="shared" ca="1" si="1"/>
        <v>0.63647374430095094</v>
      </c>
      <c r="C33" s="1">
        <f t="shared" ca="1" si="2"/>
        <v>0.34904901608405237</v>
      </c>
      <c r="D33" s="1">
        <f t="shared" ca="1" si="3"/>
        <v>155.16502061707854</v>
      </c>
      <c r="E33" s="1">
        <f t="shared" si="4"/>
        <v>148.23202394105309</v>
      </c>
      <c r="F33" s="1">
        <f t="shared" ca="1" si="0"/>
        <v>6.9329966760254536</v>
      </c>
    </row>
    <row r="34" spans="1:6" x14ac:dyDescent="0.2">
      <c r="A34" s="1">
        <v>22</v>
      </c>
      <c r="B34" s="1">
        <f t="shared" ca="1" si="1"/>
        <v>0.47964946284246091</v>
      </c>
      <c r="C34" s="1">
        <f t="shared" ca="1" si="2"/>
        <v>-5.1033375124566939E-2</v>
      </c>
      <c r="D34" s="1">
        <f t="shared" ca="1" si="3"/>
        <v>155.16570246645389</v>
      </c>
      <c r="E34" s="1">
        <f t="shared" si="4"/>
        <v>147.91040200269987</v>
      </c>
      <c r="F34" s="1">
        <f t="shared" ca="1" si="0"/>
        <v>7.2553004637540255</v>
      </c>
    </row>
    <row r="35" spans="1:6" x14ac:dyDescent="0.2">
      <c r="A35" s="1">
        <v>23</v>
      </c>
      <c r="B35" s="1">
        <f t="shared" ca="1" si="1"/>
        <v>0.18837090219786179</v>
      </c>
      <c r="C35" s="1">
        <f t="shared" ca="1" si="2"/>
        <v>-0.88391554620084478</v>
      </c>
      <c r="D35" s="1">
        <f t="shared" ca="1" si="3"/>
        <v>155.17751280669745</v>
      </c>
      <c r="E35" s="1">
        <f t="shared" si="4"/>
        <v>147.5894778937932</v>
      </c>
      <c r="F35" s="1">
        <f t="shared" ca="1" si="0"/>
        <v>7.5880349129042486</v>
      </c>
    </row>
    <row r="36" spans="1:6" x14ac:dyDescent="0.2">
      <c r="A36" s="1">
        <v>24</v>
      </c>
      <c r="B36" s="1">
        <f t="shared" ca="1" si="1"/>
        <v>0.50826415438304273</v>
      </c>
      <c r="C36" s="1">
        <f t="shared" ca="1" si="2"/>
        <v>2.0716644806492775E-2</v>
      </c>
      <c r="D36" s="1">
        <f t="shared" ca="1" si="3"/>
        <v>155.17723599324177</v>
      </c>
      <c r="E36" s="1">
        <f t="shared" si="4"/>
        <v>147.26925010023882</v>
      </c>
      <c r="F36" s="1">
        <f t="shared" ca="1" si="0"/>
        <v>7.9079858930029445</v>
      </c>
    </row>
    <row r="37" spans="1:6" x14ac:dyDescent="0.2">
      <c r="A37" s="1">
        <v>25</v>
      </c>
      <c r="B37" s="1">
        <f t="shared" ca="1" si="1"/>
        <v>0.47112823429937678</v>
      </c>
      <c r="C37" s="1">
        <f t="shared" ca="1" si="2"/>
        <v>-7.2434074343507321E-2</v>
      </c>
      <c r="D37" s="1">
        <f t="shared" ca="1" si="3"/>
        <v>155.17820385127385</v>
      </c>
      <c r="E37" s="1">
        <f t="shared" si="4"/>
        <v>146.94971711122761</v>
      </c>
      <c r="F37" s="1">
        <f t="shared" ca="1" si="0"/>
        <v>8.228486740046236</v>
      </c>
    </row>
    <row r="38" spans="1:6" x14ac:dyDescent="0.2">
      <c r="A38" s="1">
        <v>26</v>
      </c>
      <c r="B38" s="1">
        <f t="shared" ca="1" si="1"/>
        <v>0.50969929662605751</v>
      </c>
      <c r="C38" s="1">
        <f t="shared" ca="1" si="2"/>
        <v>2.4314926848735395E-2</v>
      </c>
      <c r="D38" s="1">
        <f t="shared" ca="1" si="3"/>
        <v>155.17787895658557</v>
      </c>
      <c r="E38" s="1">
        <f t="shared" si="4"/>
        <v>146.63087741922848</v>
      </c>
      <c r="F38" s="1">
        <f t="shared" ca="1" si="0"/>
        <v>8.5470015373570902</v>
      </c>
    </row>
    <row r="39" spans="1:6" x14ac:dyDescent="0.2">
      <c r="A39" s="1">
        <v>27</v>
      </c>
      <c r="B39" s="1">
        <f t="shared" ca="1" si="1"/>
        <v>0.79597250704431188</v>
      </c>
      <c r="C39" s="1">
        <f t="shared" ca="1" si="2"/>
        <v>0.82732127920251131</v>
      </c>
      <c r="D39" s="1">
        <f t="shared" ca="1" si="3"/>
        <v>155.16682474139188</v>
      </c>
      <c r="E39" s="1">
        <f t="shared" si="4"/>
        <v>146.31272951998127</v>
      </c>
      <c r="F39" s="1">
        <f t="shared" ca="1" si="0"/>
        <v>8.8540952214106028</v>
      </c>
    </row>
    <row r="40" spans="1:6" x14ac:dyDescent="0.2">
      <c r="A40" s="1">
        <v>28</v>
      </c>
      <c r="B40" s="1">
        <f t="shared" ca="1" si="1"/>
        <v>0.81320892149082147</v>
      </c>
      <c r="C40" s="1">
        <f t="shared" ca="1" si="2"/>
        <v>0.88978348318741485</v>
      </c>
      <c r="D40" s="1">
        <f t="shared" ca="1" si="3"/>
        <v>155.15493681921129</v>
      </c>
      <c r="E40" s="1">
        <f t="shared" si="4"/>
        <v>145.99527191248964</v>
      </c>
      <c r="F40" s="1">
        <f t="shared" ca="1" si="0"/>
        <v>9.1596649067216447</v>
      </c>
    </row>
    <row r="41" spans="1:6" x14ac:dyDescent="0.2">
      <c r="A41" s="1">
        <v>29</v>
      </c>
      <c r="B41" s="1">
        <f t="shared" ca="1" si="1"/>
        <v>0.96540999150878004</v>
      </c>
      <c r="C41" s="1">
        <f t="shared" ca="1" si="2"/>
        <v>1.817242323823651</v>
      </c>
      <c r="D41" s="1">
        <f t="shared" ca="1" si="3"/>
        <v>155.13066044399835</v>
      </c>
      <c r="E41" s="1">
        <f t="shared" si="4"/>
        <v>145.67850309901399</v>
      </c>
      <c r="F41" s="1">
        <f t="shared" ca="1" si="0"/>
        <v>9.4521573449843572</v>
      </c>
    </row>
    <row r="42" spans="1:6" x14ac:dyDescent="0.2">
      <c r="A42" s="1">
        <v>30</v>
      </c>
      <c r="B42" s="1">
        <f t="shared" ca="1" si="1"/>
        <v>0.7545720278645498</v>
      </c>
      <c r="C42" s="1">
        <f t="shared" ca="1" si="2"/>
        <v>0.68894807520540069</v>
      </c>
      <c r="D42" s="1">
        <f t="shared" ca="1" si="3"/>
        <v>155.12145784223955</v>
      </c>
      <c r="E42" s="1">
        <f t="shared" si="4"/>
        <v>145.3624215850644</v>
      </c>
      <c r="F42" s="1">
        <f t="shared" ca="1" si="0"/>
        <v>9.7590362571751541</v>
      </c>
    </row>
    <row r="43" spans="1:6" x14ac:dyDescent="0.2">
      <c r="A43" s="1">
        <v>31</v>
      </c>
      <c r="B43" s="1">
        <f t="shared" ca="1" si="1"/>
        <v>0.52554368841293297</v>
      </c>
      <c r="C43" s="1">
        <f t="shared" ca="1" si="2"/>
        <v>6.4072343625756104E-2</v>
      </c>
      <c r="D43" s="1">
        <f t="shared" ca="1" si="3"/>
        <v>155.12060202571641</v>
      </c>
      <c r="E43" s="1">
        <f t="shared" si="4"/>
        <v>145.04702587939354</v>
      </c>
      <c r="F43" s="1">
        <f t="shared" ca="1" si="0"/>
        <v>10.073576146322864</v>
      </c>
    </row>
    <row r="44" spans="1:6" x14ac:dyDescent="0.2">
      <c r="A44" s="1">
        <v>32</v>
      </c>
      <c r="B44" s="1">
        <f t="shared" ca="1" si="1"/>
        <v>0.47839123682497597</v>
      </c>
      <c r="C44" s="1">
        <f t="shared" ca="1" si="2"/>
        <v>-5.4191649491956456E-2</v>
      </c>
      <c r="D44" s="1">
        <f t="shared" ca="1" si="3"/>
        <v>155.12132586515631</v>
      </c>
      <c r="E44" s="1">
        <f t="shared" si="4"/>
        <v>144.73231449398972</v>
      </c>
      <c r="F44" s="1">
        <f t="shared" ca="1" si="0"/>
        <v>10.389011371166589</v>
      </c>
    </row>
    <row r="45" spans="1:6" x14ac:dyDescent="0.2">
      <c r="A45" s="1">
        <v>33</v>
      </c>
      <c r="B45" s="1">
        <f t="shared" ca="1" si="1"/>
        <v>0.41117321439858412</v>
      </c>
      <c r="C45" s="1">
        <f t="shared" ca="1" si="2"/>
        <v>-0.22452806860203864</v>
      </c>
      <c r="D45" s="1">
        <f t="shared" ca="1" si="3"/>
        <v>155.12432492909332</v>
      </c>
      <c r="E45" s="1">
        <f t="shared" si="4"/>
        <v>144.41828594406979</v>
      </c>
      <c r="F45" s="1">
        <f t="shared" ca="1" si="0"/>
        <v>10.706038985023525</v>
      </c>
    </row>
    <row r="46" spans="1:6" x14ac:dyDescent="0.2">
      <c r="A46" s="1">
        <v>34</v>
      </c>
      <c r="B46" s="1">
        <f t="shared" ca="1" si="1"/>
        <v>0.17147504761297439</v>
      </c>
      <c r="C46" s="1">
        <f t="shared" ca="1" si="2"/>
        <v>-0.94835237629948954</v>
      </c>
      <c r="D46" s="1">
        <f t="shared" ca="1" si="3"/>
        <v>155.13699289107527</v>
      </c>
      <c r="E46" s="1">
        <f t="shared" si="4"/>
        <v>144.10493874807216</v>
      </c>
      <c r="F46" s="1">
        <f t="shared" ca="1" si="0"/>
        <v>11.032054143003108</v>
      </c>
    </row>
    <row r="47" spans="1:6" x14ac:dyDescent="0.2">
      <c r="A47" s="1">
        <v>35</v>
      </c>
      <c r="B47" s="1">
        <f t="shared" ca="1" si="1"/>
        <v>0.27829977877944578</v>
      </c>
      <c r="C47" s="1">
        <f t="shared" ca="1" si="2"/>
        <v>-0.58789978979956681</v>
      </c>
      <c r="D47" s="1">
        <f t="shared" ca="1" si="3"/>
        <v>155.1448464958886</v>
      </c>
      <c r="E47" s="1">
        <f t="shared" si="4"/>
        <v>143.79227142764984</v>
      </c>
      <c r="F47" s="1">
        <f t="shared" ca="1" si="0"/>
        <v>11.352575068238764</v>
      </c>
    </row>
    <row r="48" spans="1:6" x14ac:dyDescent="0.2">
      <c r="A48" s="1">
        <v>36</v>
      </c>
      <c r="B48" s="1">
        <f t="shared" ca="1" si="1"/>
        <v>0.18428979923357403</v>
      </c>
      <c r="C48" s="1">
        <f t="shared" ca="1" si="2"/>
        <v>-0.89913717595670306</v>
      </c>
      <c r="D48" s="1">
        <f t="shared" ca="1" si="3"/>
        <v>155.15685861135839</v>
      </c>
      <c r="E48" s="1">
        <f t="shared" si="4"/>
        <v>143.48028250766339</v>
      </c>
      <c r="F48" s="1">
        <f t="shared" ca="1" si="0"/>
        <v>11.676576103694998</v>
      </c>
    </row>
    <row r="49" spans="1:6" x14ac:dyDescent="0.2">
      <c r="A49" s="1">
        <v>37</v>
      </c>
      <c r="B49" s="1">
        <f t="shared" ca="1" si="1"/>
        <v>0.98232376894876738</v>
      </c>
      <c r="C49" s="1">
        <f t="shared" ca="1" si="2"/>
        <v>2.1042979806962263</v>
      </c>
      <c r="D49" s="1">
        <f t="shared" ca="1" si="3"/>
        <v>155.12874748490694</v>
      </c>
      <c r="E49" s="1">
        <f t="shared" si="4"/>
        <v>143.16897051617406</v>
      </c>
      <c r="F49" s="1">
        <f t="shared" ca="1" si="0"/>
        <v>11.959776968732882</v>
      </c>
    </row>
    <row r="50" spans="1:6" x14ac:dyDescent="0.2">
      <c r="A50" s="1">
        <v>38</v>
      </c>
      <c r="B50" s="1">
        <f t="shared" ca="1" si="1"/>
        <v>0.75620379936796689</v>
      </c>
      <c r="C50" s="1">
        <f t="shared" ca="1" si="2"/>
        <v>0.69414321246296329</v>
      </c>
      <c r="D50" s="1">
        <f t="shared" ca="1" si="3"/>
        <v>155.11947560567864</v>
      </c>
      <c r="E50" s="1">
        <f t="shared" si="4"/>
        <v>142.85833398443677</v>
      </c>
      <c r="F50" s="1">
        <f t="shared" ca="1" si="0"/>
        <v>12.261141621241876</v>
      </c>
    </row>
    <row r="51" spans="1:6" x14ac:dyDescent="0.2">
      <c r="A51" s="1">
        <v>39</v>
      </c>
      <c r="B51" s="1">
        <f t="shared" ca="1" si="1"/>
        <v>0.61707871039592177</v>
      </c>
      <c r="C51" s="1">
        <f t="shared" ca="1" si="2"/>
        <v>0.29781734019515005</v>
      </c>
      <c r="D51" s="1">
        <f t="shared" ca="1" si="3"/>
        <v>155.11549773996774</v>
      </c>
      <c r="E51" s="1">
        <f t="shared" si="4"/>
        <v>142.54837144689321</v>
      </c>
      <c r="F51" s="1">
        <f t="shared" ca="1" si="0"/>
        <v>12.567126293074523</v>
      </c>
    </row>
    <row r="52" spans="1:6" x14ac:dyDescent="0.2">
      <c r="A52" s="1">
        <v>40</v>
      </c>
      <c r="B52" s="1">
        <f t="shared" ca="1" si="1"/>
        <v>0.22173364806367979</v>
      </c>
      <c r="C52" s="1">
        <f t="shared" ca="1" si="2"/>
        <v>-0.76635130934401841</v>
      </c>
      <c r="D52" s="1">
        <f t="shared" ca="1" si="3"/>
        <v>155.12573389374052</v>
      </c>
      <c r="E52" s="1">
        <f t="shared" si="4"/>
        <v>142.23908144116493</v>
      </c>
      <c r="F52" s="1">
        <f t="shared" ca="1" si="0"/>
        <v>12.886652452575589</v>
      </c>
    </row>
    <row r="53" spans="1:6" x14ac:dyDescent="0.2">
      <c r="A53" s="1">
        <v>41</v>
      </c>
      <c r="B53" s="1">
        <f t="shared" ca="1" si="1"/>
        <v>0.35117744665392492</v>
      </c>
      <c r="C53" s="1">
        <f t="shared" ca="1" si="2"/>
        <v>-0.38214354613590418</v>
      </c>
      <c r="D53" s="1">
        <f t="shared" ca="1" si="3"/>
        <v>155.13083843715063</v>
      </c>
      <c r="E53" s="1">
        <f t="shared" si="4"/>
        <v>141.93046250804639</v>
      </c>
      <c r="F53" s="1">
        <f t="shared" ca="1" si="0"/>
        <v>13.20037592910424</v>
      </c>
    </row>
    <row r="54" spans="1:6" x14ac:dyDescent="0.2">
      <c r="A54" s="1">
        <v>42</v>
      </c>
      <c r="B54" s="1">
        <f t="shared" ca="1" si="1"/>
        <v>0.75594610586633237</v>
      </c>
      <c r="C54" s="1">
        <f t="shared" ca="1" si="2"/>
        <v>0.69332154008118374</v>
      </c>
      <c r="D54" s="1">
        <f t="shared" ca="1" si="3"/>
        <v>155.12157740809332</v>
      </c>
      <c r="E54" s="1">
        <f t="shared" si="4"/>
        <v>141.62251319149817</v>
      </c>
      <c r="F54" s="1">
        <f t="shared" ca="1" si="0"/>
        <v>13.499064216595144</v>
      </c>
    </row>
    <row r="55" spans="1:6" x14ac:dyDescent="0.2">
      <c r="A55" s="1">
        <v>43</v>
      </c>
      <c r="B55" s="1">
        <f t="shared" ca="1" si="1"/>
        <v>0.65547160167997631</v>
      </c>
      <c r="C55" s="1">
        <f t="shared" ca="1" si="2"/>
        <v>0.40013539359971589</v>
      </c>
      <c r="D55" s="1">
        <f t="shared" ca="1" si="3"/>
        <v>155.11623285892821</v>
      </c>
      <c r="E55" s="1">
        <f t="shared" si="4"/>
        <v>141.31523203864</v>
      </c>
      <c r="F55" s="1">
        <f t="shared" ca="1" si="0"/>
        <v>13.801000820288209</v>
      </c>
    </row>
    <row r="56" spans="1:6" x14ac:dyDescent="0.2">
      <c r="A56" s="1">
        <v>44</v>
      </c>
      <c r="B56" s="1">
        <f t="shared" ca="1" si="1"/>
        <v>0.2840476419484137</v>
      </c>
      <c r="C56" s="1">
        <f t="shared" ca="1" si="2"/>
        <v>-0.57085891342164463</v>
      </c>
      <c r="D56" s="1">
        <f t="shared" ca="1" si="3"/>
        <v>155.1238577928973</v>
      </c>
      <c r="E56" s="1">
        <f t="shared" si="4"/>
        <v>141.00861759974401</v>
      </c>
      <c r="F56" s="1">
        <f t="shared" ca="1" si="0"/>
        <v>14.115240193153284</v>
      </c>
    </row>
    <row r="57" spans="1:6" x14ac:dyDescent="0.2">
      <c r="A57" s="1">
        <v>45</v>
      </c>
      <c r="B57" s="1">
        <f t="shared" ca="1" si="1"/>
        <v>0.13535880246810117</v>
      </c>
      <c r="C57" s="1">
        <f t="shared" ca="1" si="2"/>
        <v>-1.1014114946097335</v>
      </c>
      <c r="D57" s="1">
        <f t="shared" ca="1" si="3"/>
        <v>155.13857035040027</v>
      </c>
      <c r="E57" s="1">
        <f t="shared" si="4"/>
        <v>140.70266842822778</v>
      </c>
      <c r="F57" s="1">
        <f t="shared" ca="1" si="0"/>
        <v>14.435901922172491</v>
      </c>
    </row>
    <row r="58" spans="1:6" x14ac:dyDescent="0.2">
      <c r="A58" s="1">
        <v>46</v>
      </c>
      <c r="B58" s="1">
        <f t="shared" ca="1" si="1"/>
        <v>0.53220194027415557</v>
      </c>
      <c r="C58" s="1">
        <f t="shared" ca="1" si="2"/>
        <v>8.0806147010591842E-2</v>
      </c>
      <c r="D58" s="1">
        <f t="shared" ca="1" si="3"/>
        <v>155.13749090159243</v>
      </c>
      <c r="E58" s="1">
        <f t="shared" si="4"/>
        <v>140.39738308064761</v>
      </c>
      <c r="F58" s="1">
        <f t="shared" ca="1" si="0"/>
        <v>14.740107820944814</v>
      </c>
    </row>
    <row r="59" spans="1:6" x14ac:dyDescent="0.2">
      <c r="A59" s="1">
        <v>47</v>
      </c>
      <c r="B59" s="1">
        <f t="shared" ca="1" si="1"/>
        <v>0.44585725168340018</v>
      </c>
      <c r="C59" s="1">
        <f t="shared" ca="1" si="2"/>
        <v>-0.13613507047608692</v>
      </c>
      <c r="D59" s="1">
        <f t="shared" ca="1" si="3"/>
        <v>155.13930946608312</v>
      </c>
      <c r="E59" s="1">
        <f t="shared" si="4"/>
        <v>140.09276011669164</v>
      </c>
      <c r="F59" s="1">
        <f t="shared" ca="1" si="0"/>
        <v>15.046549349391483</v>
      </c>
    </row>
    <row r="60" spans="1:6" x14ac:dyDescent="0.2">
      <c r="A60" s="1">
        <v>48</v>
      </c>
      <c r="B60" s="1">
        <f t="shared" ca="1" si="1"/>
        <v>3.9198989958714847E-2</v>
      </c>
      <c r="C60" s="1">
        <f t="shared" ca="1" si="2"/>
        <v>-1.7600579593096397</v>
      </c>
      <c r="D60" s="1">
        <f t="shared" ca="1" si="3"/>
        <v>155.16282317356354</v>
      </c>
      <c r="E60" s="1">
        <f t="shared" si="4"/>
        <v>139.78879809917305</v>
      </c>
      <c r="F60" s="1">
        <f t="shared" ca="1" si="0"/>
        <v>15.374025074390488</v>
      </c>
    </row>
    <row r="61" spans="1:6" x14ac:dyDescent="0.2">
      <c r="A61" s="1">
        <v>49</v>
      </c>
      <c r="B61" s="1">
        <f t="shared" ca="1" si="1"/>
        <v>9.5891431497941215E-2</v>
      </c>
      <c r="C61" s="1">
        <f t="shared" ca="1" si="2"/>
        <v>-1.3053230660416903</v>
      </c>
      <c r="D61" s="1">
        <f t="shared" ca="1" si="3"/>
        <v>155.18026409677918</v>
      </c>
      <c r="E61" s="1">
        <f t="shared" si="4"/>
        <v>139.4854955940234</v>
      </c>
      <c r="F61" s="1">
        <f t="shared" ca="1" si="0"/>
        <v>15.694768502755778</v>
      </c>
    </row>
    <row r="62" spans="1:6" x14ac:dyDescent="0.2">
      <c r="A62" s="1">
        <v>50</v>
      </c>
      <c r="B62" s="1">
        <f t="shared" ca="1" si="1"/>
        <v>0.52657378486355</v>
      </c>
      <c r="C62" s="1">
        <f t="shared" ca="1" si="2"/>
        <v>6.6659935374273421E-2</v>
      </c>
      <c r="D62" s="1">
        <f t="shared" ca="1" si="3"/>
        <v>155.17937338026121</v>
      </c>
      <c r="E62" s="1">
        <f t="shared" si="4"/>
        <v>139.18285117028572</v>
      </c>
      <c r="F62" s="1">
        <f t="shared" ca="1" si="0"/>
        <v>15.996522209975495</v>
      </c>
    </row>
    <row r="63" spans="1:6" x14ac:dyDescent="0.2">
      <c r="A63" s="1">
        <v>51</v>
      </c>
      <c r="B63" s="1">
        <f t="shared" ca="1" si="1"/>
        <v>0.16869134366447502</v>
      </c>
      <c r="C63" s="1">
        <f t="shared" ca="1" si="2"/>
        <v>-0.95934953795590638</v>
      </c>
      <c r="D63" s="1">
        <f t="shared" ca="1" si="3"/>
        <v>155.19219279446838</v>
      </c>
      <c r="E63" s="1">
        <f t="shared" si="4"/>
        <v>138.88086340010781</v>
      </c>
      <c r="F63" s="1">
        <f t="shared" ca="1" si="0"/>
        <v>16.31132939436057</v>
      </c>
    </row>
    <row r="64" spans="1:6" x14ac:dyDescent="0.2">
      <c r="A64" s="1">
        <v>52</v>
      </c>
      <c r="B64" s="1">
        <f t="shared" ca="1" si="1"/>
        <v>0.47707492698447218</v>
      </c>
      <c r="C64" s="1">
        <f t="shared" ca="1" si="2"/>
        <v>-5.7496299294709015E-2</v>
      </c>
      <c r="D64" s="1">
        <f t="shared" ca="1" si="3"/>
        <v>155.19296112875679</v>
      </c>
      <c r="E64" s="1">
        <f t="shared" si="4"/>
        <v>138.57953085873555</v>
      </c>
      <c r="F64" s="1">
        <f t="shared" ca="1" si="0"/>
        <v>16.61343027002124</v>
      </c>
    </row>
    <row r="65" spans="1:6" x14ac:dyDescent="0.2">
      <c r="A65" s="1">
        <v>53</v>
      </c>
      <c r="B65" s="1">
        <f t="shared" ca="1" si="1"/>
        <v>0.26958562755919369</v>
      </c>
      <c r="C65" s="1">
        <f t="shared" ca="1" si="2"/>
        <v>-0.61406669543146963</v>
      </c>
      <c r="D65" s="1">
        <f t="shared" ca="1" si="3"/>
        <v>155.20116725932516</v>
      </c>
      <c r="E65" s="1">
        <f t="shared" si="4"/>
        <v>138.2788521245061</v>
      </c>
      <c r="F65" s="1">
        <f t="shared" ca="1" si="0"/>
        <v>16.922315134819058</v>
      </c>
    </row>
    <row r="66" spans="1:6" x14ac:dyDescent="0.2">
      <c r="A66" s="1">
        <v>54</v>
      </c>
      <c r="B66" s="1">
        <f t="shared" ca="1" si="1"/>
        <v>0.94862139160121195</v>
      </c>
      <c r="C66" s="1">
        <f t="shared" ca="1" si="2"/>
        <v>1.6316311273495079</v>
      </c>
      <c r="D66" s="1">
        <f t="shared" ca="1" si="3"/>
        <v>155.17936377835744</v>
      </c>
      <c r="E66" s="1">
        <f t="shared" si="4"/>
        <v>137.97882577884121</v>
      </c>
      <c r="F66" s="1">
        <f t="shared" ca="1" si="0"/>
        <v>17.200537999516229</v>
      </c>
    </row>
    <row r="67" spans="1:6" x14ac:dyDescent="0.2">
      <c r="A67" s="1">
        <v>55</v>
      </c>
      <c r="B67" s="1">
        <f t="shared" ca="1" si="1"/>
        <v>0.39930865392833348</v>
      </c>
      <c r="C67" s="1">
        <f t="shared" ca="1" si="2"/>
        <v>-0.2551369738881436</v>
      </c>
      <c r="D67" s="1">
        <f t="shared" ca="1" si="3"/>
        <v>155.18277297078686</v>
      </c>
      <c r="E67" s="1">
        <f t="shared" si="4"/>
        <v>137.67945040624062</v>
      </c>
      <c r="F67" s="1">
        <f t="shared" ca="1" si="0"/>
        <v>17.503322564546238</v>
      </c>
    </row>
    <row r="68" spans="1:6" x14ac:dyDescent="0.2">
      <c r="A68" s="1">
        <v>56</v>
      </c>
      <c r="B68" s="1">
        <f t="shared" ca="1" si="1"/>
        <v>0.25968868742831419</v>
      </c>
      <c r="C68" s="1">
        <f t="shared" ca="1" si="2"/>
        <v>-0.64430546138815481</v>
      </c>
      <c r="D68" s="1">
        <f t="shared" ca="1" si="3"/>
        <v>155.19138264554209</v>
      </c>
      <c r="E68" s="1">
        <f t="shared" si="4"/>
        <v>137.38072459427525</v>
      </c>
      <c r="F68" s="1">
        <f t="shared" ca="1" si="0"/>
        <v>17.810658051266842</v>
      </c>
    </row>
    <row r="69" spans="1:6" x14ac:dyDescent="0.2">
      <c r="A69" s="1">
        <v>57</v>
      </c>
      <c r="B69" s="1">
        <f t="shared" ca="1" si="1"/>
        <v>0.30367180627510171</v>
      </c>
      <c r="C69" s="1">
        <f t="shared" ca="1" si="2"/>
        <v>-0.51386895695955359</v>
      </c>
      <c r="D69" s="1">
        <f t="shared" ca="1" si="3"/>
        <v>155.19824967595747</v>
      </c>
      <c r="E69" s="1">
        <f t="shared" si="4"/>
        <v>137.08264693358061</v>
      </c>
      <c r="F69" s="1">
        <f t="shared" ca="1" si="0"/>
        <v>18.115602742376865</v>
      </c>
    </row>
    <row r="70" spans="1:6" x14ac:dyDescent="0.2">
      <c r="A70" s="1">
        <v>58</v>
      </c>
      <c r="B70" s="1">
        <f t="shared" ca="1" si="1"/>
        <v>3.8907465554941512E-3</v>
      </c>
      <c r="C70" s="1">
        <f t="shared" ca="1" si="2"/>
        <v>-2.6614065793762491</v>
      </c>
      <c r="D70" s="1">
        <f t="shared" ca="1" si="3"/>
        <v>155.23381994799257</v>
      </c>
      <c r="E70" s="1">
        <f t="shared" si="4"/>
        <v>136.78521601785013</v>
      </c>
      <c r="F70" s="1">
        <f t="shared" ca="1" si="0"/>
        <v>18.44860393014244</v>
      </c>
    </row>
    <row r="71" spans="1:6" x14ac:dyDescent="0.2">
      <c r="A71" s="1">
        <v>59</v>
      </c>
      <c r="B71" s="1">
        <f t="shared" ca="1" si="1"/>
        <v>0.12086352685099355</v>
      </c>
      <c r="C71" s="1">
        <f t="shared" ca="1" si="2"/>
        <v>-1.1706809290376186</v>
      </c>
      <c r="D71" s="1">
        <f t="shared" ca="1" si="3"/>
        <v>155.24946893231029</v>
      </c>
      <c r="E71" s="1">
        <f t="shared" si="4"/>
        <v>136.48843044382855</v>
      </c>
      <c r="F71" s="1">
        <f t="shared" ca="1" si="0"/>
        <v>18.761038488481745</v>
      </c>
    </row>
    <row r="72" spans="1:6" x14ac:dyDescent="0.2">
      <c r="A72" s="1">
        <v>60</v>
      </c>
      <c r="B72" s="1">
        <f t="shared" ca="1" si="1"/>
        <v>0.68819354910164521</v>
      </c>
      <c r="C72" s="1">
        <f t="shared" ca="1" si="2"/>
        <v>0.49073639466964669</v>
      </c>
      <c r="D72" s="1">
        <f t="shared" ca="1" si="3"/>
        <v>155.24290886050483</v>
      </c>
      <c r="E72" s="1">
        <f t="shared" si="4"/>
        <v>136.19228881130527</v>
      </c>
      <c r="F72" s="1">
        <f t="shared" ca="1" si="0"/>
        <v>19.050620049199551</v>
      </c>
    </row>
    <row r="73" spans="1:6" x14ac:dyDescent="0.2">
      <c r="A73" s="1">
        <v>61</v>
      </c>
      <c r="B73" s="1">
        <f t="shared" ca="1" si="1"/>
        <v>0.91807298399828297</v>
      </c>
      <c r="C73" s="1">
        <f t="shared" ca="1" si="2"/>
        <v>1.3922258013055921</v>
      </c>
      <c r="D73" s="1">
        <f t="shared" ca="1" si="3"/>
        <v>155.22429935659369</v>
      </c>
      <c r="E73" s="1">
        <f t="shared" si="4"/>
        <v>135.89678972310776</v>
      </c>
      <c r="F73" s="1">
        <f t="shared" ca="1" si="0"/>
        <v>19.327509633485931</v>
      </c>
    </row>
    <row r="74" spans="1:6" x14ac:dyDescent="0.2">
      <c r="A74" s="1">
        <v>62</v>
      </c>
      <c r="B74" s="1">
        <f t="shared" ca="1" si="1"/>
        <v>0.59449144518777763</v>
      </c>
      <c r="C74" s="1">
        <f t="shared" ca="1" si="2"/>
        <v>0.23911409874139963</v>
      </c>
      <c r="D74" s="1">
        <f t="shared" ca="1" si="3"/>
        <v>155.22110340789885</v>
      </c>
      <c r="E74" s="1">
        <f t="shared" si="4"/>
        <v>135.60193178509493</v>
      </c>
      <c r="F74" s="1">
        <f t="shared" ca="1" si="0"/>
        <v>19.619171622803918</v>
      </c>
    </row>
    <row r="75" spans="1:6" x14ac:dyDescent="0.2">
      <c r="A75" s="1">
        <v>63</v>
      </c>
      <c r="B75" s="1">
        <f t="shared" ca="1" si="1"/>
        <v>0.16693015622831686</v>
      </c>
      <c r="C75" s="1">
        <f t="shared" ca="1" si="2"/>
        <v>-0.96636751647076158</v>
      </c>
      <c r="D75" s="1">
        <f t="shared" ca="1" si="3"/>
        <v>155.23402007707065</v>
      </c>
      <c r="E75" s="1">
        <f t="shared" si="4"/>
        <v>135.30771360615063</v>
      </c>
      <c r="F75" s="1">
        <f t="shared" ca="1" si="0"/>
        <v>19.926306470920025</v>
      </c>
    </row>
    <row r="76" spans="1:6" x14ac:dyDescent="0.2">
      <c r="A76" s="1">
        <v>64</v>
      </c>
      <c r="B76" s="1">
        <f t="shared" ca="1" si="1"/>
        <v>0.49737324440413755</v>
      </c>
      <c r="C76" s="1">
        <f t="shared" ca="1" si="2"/>
        <v>-6.5843474227193742E-3</v>
      </c>
      <c r="D76" s="1">
        <f t="shared" ca="1" si="3"/>
        <v>155.23410808851409</v>
      </c>
      <c r="E76" s="1">
        <f t="shared" si="4"/>
        <v>135.01413379817703</v>
      </c>
      <c r="F76" s="1">
        <f t="shared" ca="1" si="0"/>
        <v>20.219974290337063</v>
      </c>
    </row>
    <row r="77" spans="1:6" x14ac:dyDescent="0.2">
      <c r="A77" s="1">
        <v>65</v>
      </c>
      <c r="B77" s="1">
        <f t="shared" ca="1" si="1"/>
        <v>0.65681231367017767</v>
      </c>
      <c r="C77" s="1">
        <f t="shared" ca="1" si="2"/>
        <v>0.40377882002180016</v>
      </c>
      <c r="D77" s="1">
        <f t="shared" ca="1" si="3"/>
        <v>155.22871096306054</v>
      </c>
      <c r="E77" s="1">
        <f t="shared" si="4"/>
        <v>134.72119097608805</v>
      </c>
      <c r="F77" s="1">
        <f t="shared" ref="F77:F112" ca="1" si="5">D77-E77</f>
        <v>20.507519986972483</v>
      </c>
    </row>
    <row r="78" spans="1:6" x14ac:dyDescent="0.2">
      <c r="A78" s="1">
        <v>66</v>
      </c>
      <c r="B78" s="1">
        <f t="shared" ref="B78:B112" ca="1" si="6">RAND()</f>
        <v>0.97256485577559182</v>
      </c>
      <c r="C78" s="1">
        <f t="shared" ref="C78:C112" ca="1" si="7">_xlfn.NORM.S.INV(B78)</f>
        <v>1.9199019272543383</v>
      </c>
      <c r="D78" s="1">
        <f t="shared" ref="D78:D112" ca="1" si="8">D77*EXP($B$8*$B$5*$B$7*C78*SQRT($B$5))</f>
        <v>155.20305108574499</v>
      </c>
      <c r="E78" s="1">
        <f t="shared" ref="E78:E112" si="9">E77*EXP($B$8*$B$5)</f>
        <v>134.42888375780291</v>
      </c>
      <c r="F78" s="1">
        <f t="shared" ca="1" si="5"/>
        <v>20.774167327942081</v>
      </c>
    </row>
    <row r="79" spans="1:6" x14ac:dyDescent="0.2">
      <c r="A79" s="1">
        <v>67</v>
      </c>
      <c r="B79" s="1">
        <f t="shared" ca="1" si="6"/>
        <v>2.8833198202217525E-2</v>
      </c>
      <c r="C79" s="1">
        <f t="shared" ca="1" si="7"/>
        <v>-1.8982253985419859</v>
      </c>
      <c r="D79" s="1">
        <f t="shared" ca="1" si="8"/>
        <v>155.22842122819554</v>
      </c>
      <c r="E79" s="1">
        <f t="shared" si="9"/>
        <v>134.13721076423954</v>
      </c>
      <c r="F79" s="1">
        <f t="shared" ca="1" si="5"/>
        <v>21.091210463956003</v>
      </c>
    </row>
    <row r="80" spans="1:6" x14ac:dyDescent="0.2">
      <c r="A80" s="1">
        <v>68</v>
      </c>
      <c r="B80" s="1">
        <f t="shared" ca="1" si="6"/>
        <v>0.96523897501155487</v>
      </c>
      <c r="C80" s="1">
        <f t="shared" ca="1" si="7"/>
        <v>1.8150121002673214</v>
      </c>
      <c r="D80" s="1">
        <f t="shared" ca="1" si="8"/>
        <v>155.20416316035261</v>
      </c>
      <c r="E80" s="1">
        <f t="shared" si="9"/>
        <v>133.84617061930805</v>
      </c>
      <c r="F80" s="1">
        <f t="shared" ca="1" si="5"/>
        <v>21.357992541044553</v>
      </c>
    </row>
    <row r="81" spans="1:6" x14ac:dyDescent="0.2">
      <c r="A81" s="1">
        <v>69</v>
      </c>
      <c r="B81" s="1">
        <f t="shared" ca="1" si="6"/>
        <v>0.75766296289160162</v>
      </c>
      <c r="C81" s="1">
        <f t="shared" ca="1" si="7"/>
        <v>0.69880472669142324</v>
      </c>
      <c r="D81" s="1">
        <f t="shared" ca="1" si="8"/>
        <v>155.19482447996947</v>
      </c>
      <c r="E81" s="1">
        <f t="shared" si="9"/>
        <v>133.55576194990437</v>
      </c>
      <c r="F81" s="1">
        <f t="shared" ca="1" si="5"/>
        <v>21.639062530065104</v>
      </c>
    </row>
    <row r="82" spans="1:6" x14ac:dyDescent="0.2">
      <c r="A82" s="1">
        <v>70</v>
      </c>
      <c r="B82" s="1">
        <f t="shared" ca="1" si="6"/>
        <v>0.81324136509632117</v>
      </c>
      <c r="C82" s="1">
        <f t="shared" ca="1" si="7"/>
        <v>0.88990430936693699</v>
      </c>
      <c r="D82" s="1">
        <f t="shared" ca="1" si="8"/>
        <v>155.18293279809859</v>
      </c>
      <c r="E82" s="1">
        <f t="shared" si="9"/>
        <v>133.26598338590355</v>
      </c>
      <c r="F82" s="1">
        <f t="shared" ca="1" si="5"/>
        <v>21.916949412195038</v>
      </c>
    </row>
    <row r="83" spans="1:6" x14ac:dyDescent="0.2">
      <c r="A83" s="1">
        <v>71</v>
      </c>
      <c r="B83" s="1">
        <f t="shared" ca="1" si="6"/>
        <v>0.5252898345650745</v>
      </c>
      <c r="C83" s="1">
        <f t="shared" ca="1" si="7"/>
        <v>6.3434731907410072E-2</v>
      </c>
      <c r="D83" s="1">
        <f t="shared" ca="1" si="8"/>
        <v>155.18208516236737</v>
      </c>
      <c r="E83" s="1">
        <f t="shared" si="9"/>
        <v>132.97683356015358</v>
      </c>
      <c r="F83" s="1">
        <f t="shared" ca="1" si="5"/>
        <v>22.205251602213792</v>
      </c>
    </row>
    <row r="84" spans="1:6" x14ac:dyDescent="0.2">
      <c r="A84" s="1">
        <v>72</v>
      </c>
      <c r="B84" s="1">
        <f t="shared" ca="1" si="6"/>
        <v>0.60293055230153814</v>
      </c>
      <c r="C84" s="1">
        <f t="shared" ca="1" si="7"/>
        <v>0.2609398472082442</v>
      </c>
      <c r="D84" s="1">
        <f t="shared" ca="1" si="8"/>
        <v>155.17859844708292</v>
      </c>
      <c r="E84" s="1">
        <f t="shared" si="9"/>
        <v>132.68831110846867</v>
      </c>
      <c r="F84" s="1">
        <f t="shared" ca="1" si="5"/>
        <v>22.490287338614252</v>
      </c>
    </row>
    <row r="85" spans="1:6" x14ac:dyDescent="0.2">
      <c r="A85" s="1">
        <v>73</v>
      </c>
      <c r="B85" s="1">
        <f t="shared" ca="1" si="6"/>
        <v>0.40284136038887608</v>
      </c>
      <c r="C85" s="1">
        <f t="shared" ca="1" si="7"/>
        <v>-0.24599936923691976</v>
      </c>
      <c r="D85" s="1">
        <f t="shared" ca="1" si="8"/>
        <v>155.18188552346518</v>
      </c>
      <c r="E85" s="1">
        <f t="shared" si="9"/>
        <v>132.40041466962296</v>
      </c>
      <c r="F85" s="1">
        <f t="shared" ca="1" si="5"/>
        <v>22.781470853842222</v>
      </c>
    </row>
    <row r="86" spans="1:6" x14ac:dyDescent="0.2">
      <c r="A86" s="1">
        <v>74</v>
      </c>
      <c r="B86" s="1">
        <f t="shared" ca="1" si="6"/>
        <v>0.33403530362039768</v>
      </c>
      <c r="C86" s="1">
        <f t="shared" ca="1" si="7"/>
        <v>-0.42879748782353022</v>
      </c>
      <c r="D86" s="1">
        <f t="shared" ca="1" si="8"/>
        <v>155.18761533915182</v>
      </c>
      <c r="E86" s="1">
        <f t="shared" si="9"/>
        <v>132.11314288534408</v>
      </c>
      <c r="F86" s="1">
        <f t="shared" ca="1" si="5"/>
        <v>23.074472453807743</v>
      </c>
    </row>
    <row r="87" spans="1:6" x14ac:dyDescent="0.2">
      <c r="A87" s="1">
        <v>75</v>
      </c>
      <c r="B87" s="1">
        <f t="shared" ca="1" si="6"/>
        <v>0.29226359498103616</v>
      </c>
      <c r="C87" s="1">
        <f t="shared" ca="1" si="7"/>
        <v>-0.54678392236355911</v>
      </c>
      <c r="D87" s="1">
        <f t="shared" ca="1" si="8"/>
        <v>155.19492205800944</v>
      </c>
      <c r="E87" s="1">
        <f t="shared" si="9"/>
        <v>131.82649440030673</v>
      </c>
      <c r="F87" s="1">
        <f t="shared" ca="1" si="5"/>
        <v>23.368427657702711</v>
      </c>
    </row>
    <row r="88" spans="1:6" x14ac:dyDescent="0.2">
      <c r="A88" s="1">
        <v>76</v>
      </c>
      <c r="B88" s="1">
        <f t="shared" ca="1" si="6"/>
        <v>0.85713262054682759</v>
      </c>
      <c r="C88" s="1">
        <f t="shared" ca="1" si="7"/>
        <v>1.067525159059926</v>
      </c>
      <c r="D88" s="1">
        <f t="shared" ca="1" si="8"/>
        <v>155.18065695068094</v>
      </c>
      <c r="E88" s="1">
        <f t="shared" si="9"/>
        <v>131.54046786212629</v>
      </c>
      <c r="F88" s="1">
        <f t="shared" ca="1" si="5"/>
        <v>23.640189088554649</v>
      </c>
    </row>
    <row r="89" spans="1:6" x14ac:dyDescent="0.2">
      <c r="A89" s="1">
        <v>77</v>
      </c>
      <c r="B89" s="1">
        <f t="shared" ca="1" si="6"/>
        <v>0.13694135927928197</v>
      </c>
      <c r="C89" s="1">
        <f t="shared" ca="1" si="7"/>
        <v>-1.0941647724449566</v>
      </c>
      <c r="D89" s="1">
        <f t="shared" ca="1" si="8"/>
        <v>155.19527805415896</v>
      </c>
      <c r="E89" s="1">
        <f t="shared" si="9"/>
        <v>131.25506192135245</v>
      </c>
      <c r="F89" s="1">
        <f t="shared" ca="1" si="5"/>
        <v>23.940216132806512</v>
      </c>
    </row>
    <row r="90" spans="1:6" x14ac:dyDescent="0.2">
      <c r="A90" s="1">
        <v>78</v>
      </c>
      <c r="B90" s="1">
        <f t="shared" ca="1" si="6"/>
        <v>0.9508146959540037</v>
      </c>
      <c r="C90" s="1">
        <f t="shared" ca="1" si="7"/>
        <v>1.652804744972471</v>
      </c>
      <c r="D90" s="1">
        <f t="shared" ca="1" si="8"/>
        <v>155.17319248842992</v>
      </c>
      <c r="E90" s="1">
        <f t="shared" si="9"/>
        <v>130.97027523146278</v>
      </c>
      <c r="F90" s="1">
        <f t="shared" ca="1" si="5"/>
        <v>24.20291725696714</v>
      </c>
    </row>
    <row r="91" spans="1:6" x14ac:dyDescent="0.2">
      <c r="A91" s="1">
        <v>79</v>
      </c>
      <c r="B91" s="1">
        <f t="shared" ca="1" si="6"/>
        <v>0.36644264062913767</v>
      </c>
      <c r="C91" s="1">
        <f t="shared" ca="1" si="7"/>
        <v>-0.34128999212588279</v>
      </c>
      <c r="D91" s="1">
        <f t="shared" ca="1" si="8"/>
        <v>155.17775271066418</v>
      </c>
      <c r="E91" s="1">
        <f t="shared" si="9"/>
        <v>130.68610644885646</v>
      </c>
      <c r="F91" s="1">
        <f t="shared" ca="1" si="5"/>
        <v>24.491646261807716</v>
      </c>
    </row>
    <row r="92" spans="1:6" x14ac:dyDescent="0.2">
      <c r="A92" s="1">
        <v>80</v>
      </c>
      <c r="B92" s="1">
        <f t="shared" ca="1" si="6"/>
        <v>0.12778310066705101</v>
      </c>
      <c r="C92" s="1">
        <f t="shared" ca="1" si="7"/>
        <v>-1.1369332251762376</v>
      </c>
      <c r="D92" s="1">
        <f t="shared" ca="1" si="8"/>
        <v>155.19294506400365</v>
      </c>
      <c r="E92" s="1">
        <f t="shared" si="9"/>
        <v>130.4025542328479</v>
      </c>
      <c r="F92" s="1">
        <f t="shared" ca="1" si="5"/>
        <v>24.790390831155747</v>
      </c>
    </row>
    <row r="93" spans="1:6" x14ac:dyDescent="0.2">
      <c r="A93" s="1">
        <v>81</v>
      </c>
      <c r="B93" s="1">
        <f t="shared" ca="1" si="6"/>
        <v>0.37989716024886455</v>
      </c>
      <c r="C93" s="1">
        <f t="shared" ca="1" si="7"/>
        <v>-0.30575089316615894</v>
      </c>
      <c r="D93" s="1">
        <f t="shared" ca="1" si="8"/>
        <v>155.19703093644148</v>
      </c>
      <c r="E93" s="1">
        <f t="shared" si="9"/>
        <v>130.11961724566044</v>
      </c>
      <c r="F93" s="1">
        <f t="shared" ca="1" si="5"/>
        <v>25.077413690781043</v>
      </c>
    </row>
    <row r="94" spans="1:6" x14ac:dyDescent="0.2">
      <c r="A94" s="1">
        <v>82</v>
      </c>
      <c r="B94" s="1">
        <f t="shared" ca="1" si="6"/>
        <v>0.51046684460551983</v>
      </c>
      <c r="C94" s="1">
        <f t="shared" ca="1" si="7"/>
        <v>2.6239499355505347E-2</v>
      </c>
      <c r="D94" s="1">
        <f t="shared" ca="1" si="8"/>
        <v>155.19668028321436</v>
      </c>
      <c r="E94" s="1">
        <f t="shared" si="9"/>
        <v>129.83729415241999</v>
      </c>
      <c r="F94" s="1">
        <f t="shared" ca="1" si="5"/>
        <v>25.359386130794377</v>
      </c>
    </row>
    <row r="95" spans="1:6" x14ac:dyDescent="0.2">
      <c r="A95" s="1">
        <v>83</v>
      </c>
      <c r="B95" s="1">
        <f t="shared" ca="1" si="6"/>
        <v>0.7126665405765128</v>
      </c>
      <c r="C95" s="1">
        <f t="shared" ca="1" si="7"/>
        <v>0.56119161443891452</v>
      </c>
      <c r="D95" s="1">
        <f t="shared" ca="1" si="8"/>
        <v>155.18918095286557</v>
      </c>
      <c r="E95" s="1">
        <f t="shared" si="9"/>
        <v>129.5555836211488</v>
      </c>
      <c r="F95" s="1">
        <f t="shared" ca="1" si="5"/>
        <v>25.633597331716771</v>
      </c>
    </row>
    <row r="96" spans="1:6" x14ac:dyDescent="0.2">
      <c r="A96" s="1">
        <v>84</v>
      </c>
      <c r="B96" s="1">
        <f t="shared" ca="1" si="6"/>
        <v>0.24989533819682586</v>
      </c>
      <c r="C96" s="1">
        <f t="shared" ca="1" si="7"/>
        <v>-0.67481914336402626</v>
      </c>
      <c r="D96" s="1">
        <f t="shared" ca="1" si="8"/>
        <v>155.19819875767433</v>
      </c>
      <c r="E96" s="1">
        <f t="shared" si="9"/>
        <v>129.27448432275909</v>
      </c>
      <c r="F96" s="1">
        <f t="shared" ca="1" si="5"/>
        <v>25.92371443491524</v>
      </c>
    </row>
    <row r="97" spans="1:6" x14ac:dyDescent="0.2">
      <c r="A97" s="1">
        <v>85</v>
      </c>
      <c r="B97" s="1">
        <f t="shared" ca="1" si="6"/>
        <v>0.83347300198302998</v>
      </c>
      <c r="C97" s="1">
        <f t="shared" ca="1" si="7"/>
        <v>0.96798072524034595</v>
      </c>
      <c r="D97" s="1">
        <f t="shared" ca="1" si="8"/>
        <v>155.18526351250313</v>
      </c>
      <c r="E97" s="1">
        <f t="shared" si="9"/>
        <v>128.99399493104687</v>
      </c>
      <c r="F97" s="1">
        <f t="shared" ca="1" si="5"/>
        <v>26.191268581456256</v>
      </c>
    </row>
    <row r="98" spans="1:6" x14ac:dyDescent="0.2">
      <c r="A98" s="1">
        <v>86</v>
      </c>
      <c r="B98" s="1">
        <f t="shared" ca="1" si="6"/>
        <v>0.2625146818310532</v>
      </c>
      <c r="C98" s="1">
        <f t="shared" ca="1" si="7"/>
        <v>-0.63561197307149675</v>
      </c>
      <c r="D98" s="1">
        <f t="shared" ca="1" si="8"/>
        <v>155.19375715172484</v>
      </c>
      <c r="E98" s="1">
        <f t="shared" si="9"/>
        <v>128.7141141226856</v>
      </c>
      <c r="F98" s="1">
        <f t="shared" ca="1" si="5"/>
        <v>26.479643029039238</v>
      </c>
    </row>
    <row r="99" spans="1:6" x14ac:dyDescent="0.2">
      <c r="A99" s="1">
        <v>87</v>
      </c>
      <c r="B99" s="1">
        <f t="shared" ca="1" si="6"/>
        <v>0.7124970506395405</v>
      </c>
      <c r="C99" s="1">
        <f t="shared" ca="1" si="7"/>
        <v>0.56069438049888598</v>
      </c>
      <c r="D99" s="1">
        <f t="shared" ca="1" si="8"/>
        <v>155.18626460698997</v>
      </c>
      <c r="E99" s="1">
        <f t="shared" si="9"/>
        <v>128.43484057722003</v>
      </c>
      <c r="F99" s="1">
        <f t="shared" ca="1" si="5"/>
        <v>26.751424029769936</v>
      </c>
    </row>
    <row r="100" spans="1:6" x14ac:dyDescent="0.2">
      <c r="A100" s="1">
        <v>88</v>
      </c>
      <c r="B100" s="1">
        <f t="shared" ca="1" si="6"/>
        <v>0.76535847311677707</v>
      </c>
      <c r="C100" s="1">
        <f t="shared" ca="1" si="7"/>
        <v>0.72364606398149933</v>
      </c>
      <c r="D100" s="1">
        <f t="shared" ca="1" si="8"/>
        <v>155.17659507775176</v>
      </c>
      <c r="E100" s="1">
        <f t="shared" si="9"/>
        <v>128.1561729770599</v>
      </c>
      <c r="F100" s="1">
        <f t="shared" ca="1" si="5"/>
        <v>27.02042210069186</v>
      </c>
    </row>
    <row r="101" spans="1:6" x14ac:dyDescent="0.2">
      <c r="A101" s="1">
        <v>89</v>
      </c>
      <c r="B101" s="1">
        <f t="shared" ca="1" si="6"/>
        <v>0.46478940464701513</v>
      </c>
      <c r="C101" s="1">
        <f t="shared" ca="1" si="7"/>
        <v>-8.837477522237791E-2</v>
      </c>
      <c r="D101" s="1">
        <f t="shared" ca="1" si="8"/>
        <v>155.17777593002651</v>
      </c>
      <c r="E101" s="1">
        <f t="shared" si="9"/>
        <v>127.87811000747375</v>
      </c>
      <c r="F101" s="1">
        <f t="shared" ca="1" si="5"/>
        <v>27.299665922552762</v>
      </c>
    </row>
    <row r="102" spans="1:6" x14ac:dyDescent="0.2">
      <c r="A102" s="1">
        <v>90</v>
      </c>
      <c r="B102" s="1">
        <f t="shared" ca="1" si="6"/>
        <v>0.5290488908804839</v>
      </c>
      <c r="C102" s="1">
        <f t="shared" ca="1" si="7"/>
        <v>7.2879234780429486E-2</v>
      </c>
      <c r="D102" s="1">
        <f t="shared" ca="1" si="8"/>
        <v>155.17680212650203</v>
      </c>
      <c r="E102" s="1">
        <f t="shared" si="9"/>
        <v>127.60065035658275</v>
      </c>
      <c r="F102" s="1">
        <f t="shared" ca="1" si="5"/>
        <v>27.576151769919278</v>
      </c>
    </row>
    <row r="103" spans="1:6" x14ac:dyDescent="0.2">
      <c r="A103" s="1">
        <v>91</v>
      </c>
      <c r="B103" s="1">
        <f t="shared" ca="1" si="6"/>
        <v>0.11603927572349959</v>
      </c>
      <c r="C103" s="1">
        <f t="shared" ca="1" si="7"/>
        <v>-1.1950217012594933</v>
      </c>
      <c r="D103" s="1">
        <f t="shared" ca="1" si="8"/>
        <v>155.19277063346655</v>
      </c>
      <c r="E103" s="1">
        <f t="shared" si="9"/>
        <v>127.32379271535444</v>
      </c>
      <c r="F103" s="1">
        <f t="shared" ca="1" si="5"/>
        <v>27.868977918112108</v>
      </c>
    </row>
    <row r="104" spans="1:6" x14ac:dyDescent="0.2">
      <c r="A104" s="1">
        <v>92</v>
      </c>
      <c r="B104" s="1">
        <f t="shared" ca="1" si="6"/>
        <v>0.92998839471341077</v>
      </c>
      <c r="C104" s="1">
        <f t="shared" ca="1" si="7"/>
        <v>1.4757045998874321</v>
      </c>
      <c r="D104" s="1">
        <f t="shared" ca="1" si="8"/>
        <v>155.17305173263273</v>
      </c>
      <c r="E104" s="1">
        <f t="shared" si="9"/>
        <v>127.04753577759664</v>
      </c>
      <c r="F104" s="1">
        <f t="shared" ca="1" si="5"/>
        <v>28.125515955036093</v>
      </c>
    </row>
    <row r="105" spans="1:6" x14ac:dyDescent="0.2">
      <c r="A105" s="1">
        <v>93</v>
      </c>
      <c r="B105" s="1">
        <f t="shared" ca="1" si="6"/>
        <v>0.56027020482964152</v>
      </c>
      <c r="C105" s="1">
        <f t="shared" ca="1" si="7"/>
        <v>0.15165431663696774</v>
      </c>
      <c r="D105" s="1">
        <f t="shared" ca="1" si="8"/>
        <v>155.17102541455111</v>
      </c>
      <c r="E105" s="1">
        <f t="shared" si="9"/>
        <v>126.77187823995119</v>
      </c>
      <c r="F105" s="1">
        <f t="shared" ca="1" si="5"/>
        <v>28.399147174599918</v>
      </c>
    </row>
    <row r="106" spans="1:6" x14ac:dyDescent="0.2">
      <c r="A106" s="1">
        <v>94</v>
      </c>
      <c r="B106" s="1">
        <f t="shared" ca="1" si="6"/>
        <v>0.12948022344495713</v>
      </c>
      <c r="C106" s="1">
        <f t="shared" ca="1" si="7"/>
        <v>-1.128851586189239</v>
      </c>
      <c r="D106" s="1">
        <f t="shared" ca="1" si="8"/>
        <v>155.18610911721024</v>
      </c>
      <c r="E106" s="1">
        <f t="shared" si="9"/>
        <v>126.49681880188788</v>
      </c>
      <c r="F106" s="1">
        <f t="shared" ca="1" si="5"/>
        <v>28.689290315322353</v>
      </c>
    </row>
    <row r="107" spans="1:6" x14ac:dyDescent="0.2">
      <c r="A107" s="1">
        <v>95</v>
      </c>
      <c r="B107" s="1">
        <f t="shared" ca="1" si="6"/>
        <v>0.41720669187610993</v>
      </c>
      <c r="C107" s="1">
        <f t="shared" ca="1" si="7"/>
        <v>-0.20904464888027566</v>
      </c>
      <c r="D107" s="1">
        <f t="shared" ca="1" si="8"/>
        <v>155.18890253044114</v>
      </c>
      <c r="E107" s="1">
        <f t="shared" si="9"/>
        <v>126.22235616569829</v>
      </c>
      <c r="F107" s="1">
        <f t="shared" ca="1" si="5"/>
        <v>28.966546364742854</v>
      </c>
    </row>
    <row r="108" spans="1:6" x14ac:dyDescent="0.2">
      <c r="A108" s="1">
        <v>96</v>
      </c>
      <c r="B108" s="1">
        <f t="shared" ca="1" si="6"/>
        <v>0.48452723675848119</v>
      </c>
      <c r="C108" s="1">
        <f t="shared" ca="1" si="7"/>
        <v>-3.8794194440900903E-2</v>
      </c>
      <c r="D108" s="1">
        <f t="shared" ca="1" si="8"/>
        <v>155.18942093343756</v>
      </c>
      <c r="E108" s="1">
        <f t="shared" si="9"/>
        <v>125.94848903648965</v>
      </c>
      <c r="F108" s="1">
        <f t="shared" ca="1" si="5"/>
        <v>29.240931896947913</v>
      </c>
    </row>
    <row r="109" spans="1:6" x14ac:dyDescent="0.2">
      <c r="A109" s="1">
        <v>97</v>
      </c>
      <c r="B109" s="1">
        <f t="shared" ca="1" si="6"/>
        <v>0.87127037870090496</v>
      </c>
      <c r="C109" s="1">
        <f t="shared" ca="1" si="7"/>
        <v>1.132416805946765</v>
      </c>
      <c r="D109" s="1">
        <f t="shared" ca="1" si="8"/>
        <v>155.17428927175638</v>
      </c>
      <c r="E109" s="1">
        <f t="shared" si="9"/>
        <v>125.67521612217874</v>
      </c>
      <c r="F109" s="1">
        <f t="shared" ca="1" si="5"/>
        <v>29.49907314957764</v>
      </c>
    </row>
    <row r="110" spans="1:6" x14ac:dyDescent="0.2">
      <c r="A110" s="1">
        <v>98</v>
      </c>
      <c r="B110" s="1">
        <f t="shared" ca="1" si="6"/>
        <v>0.83366140136110278</v>
      </c>
      <c r="C110" s="1">
        <f t="shared" ca="1" si="7"/>
        <v>0.96873545616280687</v>
      </c>
      <c r="D110" s="1">
        <f t="shared" ca="1" si="8"/>
        <v>155.16134593577243</v>
      </c>
      <c r="E110" s="1">
        <f t="shared" si="9"/>
        <v>125.40253613348581</v>
      </c>
      <c r="F110" s="1">
        <f t="shared" ca="1" si="5"/>
        <v>29.758809802286621</v>
      </c>
    </row>
    <row r="111" spans="1:6" x14ac:dyDescent="0.2">
      <c r="A111" s="1">
        <v>99</v>
      </c>
      <c r="B111" s="1">
        <f t="shared" ca="1" si="6"/>
        <v>0.6136507341846057</v>
      </c>
      <c r="C111" s="1">
        <f t="shared" ca="1" si="7"/>
        <v>0.28884691096469811</v>
      </c>
      <c r="D111" s="1">
        <f t="shared" ca="1" si="8"/>
        <v>155.15748684279271</v>
      </c>
      <c r="E111" s="1">
        <f t="shared" si="9"/>
        <v>125.13044778392849</v>
      </c>
      <c r="F111" s="1">
        <f t="shared" ca="1" si="5"/>
        <v>30.027039058864219</v>
      </c>
    </row>
    <row r="112" spans="1:6" x14ac:dyDescent="0.2">
      <c r="A112" s="1">
        <v>100</v>
      </c>
      <c r="B112" s="1">
        <f t="shared" ca="1" si="6"/>
        <v>0.14700291339178329</v>
      </c>
      <c r="C112" s="1">
        <f t="shared" ca="1" si="7"/>
        <v>-1.0493744195043271</v>
      </c>
      <c r="D112" s="1">
        <f t="shared" ca="1" si="8"/>
        <v>155.17150730104947</v>
      </c>
      <c r="E112" s="1">
        <f t="shared" si="9"/>
        <v>124.8589497898157</v>
      </c>
      <c r="F112" s="1">
        <f t="shared" ca="1" si="5"/>
        <v>30.312557511233777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AFEB-8493-104B-8DD2-126FE98AF8F1}">
  <dimension ref="A3:Q264"/>
  <sheetViews>
    <sheetView zoomScale="109" workbookViewId="0">
      <selection activeCell="B10" sqref="B10"/>
    </sheetView>
  </sheetViews>
  <sheetFormatPr baseColWidth="10" defaultRowHeight="16" x14ac:dyDescent="0.2"/>
  <cols>
    <col min="1" max="1" width="38.83203125" style="1" bestFit="1" customWidth="1"/>
    <col min="2" max="2" width="13.5" style="1" bestFit="1" customWidth="1"/>
    <col min="3" max="3" width="14.33203125" style="1" bestFit="1" customWidth="1"/>
    <col min="4" max="4" width="17.5" style="1" bestFit="1" customWidth="1"/>
    <col min="5" max="5" width="10.83203125" style="1"/>
    <col min="6" max="6" width="16.5" style="1" bestFit="1" customWidth="1"/>
    <col min="7" max="7" width="27.6640625" style="1" bestFit="1" customWidth="1"/>
    <col min="8" max="8" width="10.83203125" style="1"/>
    <col min="9" max="9" width="18.6640625" style="1" bestFit="1" customWidth="1"/>
    <col min="10" max="10" width="13.5" style="1" bestFit="1" customWidth="1"/>
    <col min="11" max="11" width="13.83203125" style="1" bestFit="1" customWidth="1"/>
    <col min="12" max="16384" width="10.83203125" style="1"/>
  </cols>
  <sheetData>
    <row r="3" spans="1:17" x14ac:dyDescent="0.2">
      <c r="A3" s="1" t="s">
        <v>23</v>
      </c>
    </row>
    <row r="4" spans="1:17" x14ac:dyDescent="0.2">
      <c r="B4" s="1" t="s">
        <v>6</v>
      </c>
      <c r="C4" s="1" t="s">
        <v>7</v>
      </c>
    </row>
    <row r="5" spans="1:17" x14ac:dyDescent="0.2">
      <c r="A5" s="1" t="s">
        <v>0</v>
      </c>
      <c r="B5" s="1">
        <v>250</v>
      </c>
    </row>
    <row r="6" spans="1:17" x14ac:dyDescent="0.2">
      <c r="A6" s="1" t="s">
        <v>1</v>
      </c>
      <c r="B6" s="1">
        <f>B5-1</f>
        <v>249</v>
      </c>
    </row>
    <row r="7" spans="1:17" x14ac:dyDescent="0.2">
      <c r="A7" s="1" t="s">
        <v>2</v>
      </c>
      <c r="B7" s="1">
        <f>AVERAGE(F15:F263)</f>
        <v>-5.3401589990757935E-5</v>
      </c>
    </row>
    <row r="8" spans="1:17" x14ac:dyDescent="0.2">
      <c r="A8" s="1" t="s">
        <v>3</v>
      </c>
      <c r="B8" s="1">
        <f>_xlfn.VAR.S(C15:C264)</f>
        <v>2.0721797545334176E-4</v>
      </c>
    </row>
    <row r="9" spans="1:17" x14ac:dyDescent="0.2">
      <c r="A9" s="1" t="s">
        <v>4</v>
      </c>
      <c r="B9" s="1">
        <f>SQRT(B8)</f>
        <v>1.4395067747438418E-2</v>
      </c>
    </row>
    <row r="10" spans="1:17" x14ac:dyDescent="0.2">
      <c r="A10" s="1" t="s">
        <v>5</v>
      </c>
      <c r="B10" s="1">
        <f>B9*SQRT(252)</f>
        <v>0.22851461619389279</v>
      </c>
    </row>
    <row r="11" spans="1:17" x14ac:dyDescent="0.2">
      <c r="O11" s="9" t="s">
        <v>54</v>
      </c>
      <c r="P11" s="9"/>
    </row>
    <row r="12" spans="1:17" x14ac:dyDescent="0.2">
      <c r="O12" s="9"/>
      <c r="P12" s="9"/>
    </row>
    <row r="13" spans="1:17" x14ac:dyDescent="0.2">
      <c r="I13" s="29" t="s">
        <v>15</v>
      </c>
      <c r="J13" s="29"/>
      <c r="K13" s="29"/>
      <c r="M13" s="1" t="s">
        <v>53</v>
      </c>
      <c r="O13" s="9" t="s">
        <v>8</v>
      </c>
      <c r="P13" s="9" t="s">
        <v>30</v>
      </c>
      <c r="Q13" s="1" t="s">
        <v>55</v>
      </c>
    </row>
    <row r="14" spans="1:17" ht="19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I14" s="1" t="s">
        <v>16</v>
      </c>
      <c r="J14" s="1" t="s">
        <v>18</v>
      </c>
      <c r="K14" s="1" t="s">
        <v>19</v>
      </c>
      <c r="M14" s="1">
        <v>-0.05</v>
      </c>
      <c r="O14" s="10">
        <v>45996</v>
      </c>
      <c r="P14" s="11">
        <v>630.48</v>
      </c>
    </row>
    <row r="15" spans="1:17" ht="19" x14ac:dyDescent="0.25">
      <c r="A15" s="5">
        <v>45996</v>
      </c>
      <c r="B15" s="1">
        <v>181.71</v>
      </c>
      <c r="E15" s="1">
        <v>1</v>
      </c>
      <c r="F15" s="1">
        <f>IF(E15&lt;$B$5,C15,"")</f>
        <v>0</v>
      </c>
      <c r="G15" s="1">
        <f>IF(E15&lt;=$B$5,D15,"")</f>
        <v>0</v>
      </c>
      <c r="I15" s="1" t="s">
        <v>17</v>
      </c>
      <c r="M15" s="1">
        <v>-0.04</v>
      </c>
      <c r="O15" s="10">
        <v>45995</v>
      </c>
      <c r="P15" s="11">
        <v>629.29999999999995</v>
      </c>
      <c r="Q15" s="1">
        <f>(P15-P14)/P14</f>
        <v>-1.8715898997590148E-3</v>
      </c>
    </row>
    <row r="16" spans="1:17" ht="19" x14ac:dyDescent="0.25">
      <c r="A16" s="5">
        <v>45995</v>
      </c>
      <c r="B16" s="1">
        <v>180.34</v>
      </c>
      <c r="C16" s="1">
        <f>(B16-B15)/B15</f>
        <v>-7.5394859941665541E-3</v>
      </c>
      <c r="D16" s="1">
        <f>(C16-$B$7)^2</f>
        <v>5.6041459706444082E-5</v>
      </c>
      <c r="E16" s="1">
        <v>2</v>
      </c>
      <c r="F16" s="1">
        <f t="shared" ref="F16:F79" si="0">IF(E16&lt;$B$5,C16,"")</f>
        <v>-7.5394859941665541E-3</v>
      </c>
      <c r="G16" s="1">
        <f t="shared" ref="G16:G79" si="1">IF(E16&lt;=$B$5,D16,"")</f>
        <v>5.6041459706444082E-5</v>
      </c>
      <c r="I16" s="1" t="s">
        <v>2</v>
      </c>
      <c r="M16" s="1">
        <v>-0.03</v>
      </c>
      <c r="O16" s="10">
        <v>45994</v>
      </c>
      <c r="P16" s="11">
        <v>628.77</v>
      </c>
      <c r="Q16" s="1">
        <f t="shared" ref="Q16:Q79" si="2">(P16-P15)/P15</f>
        <v>-8.4220562529790683E-4</v>
      </c>
    </row>
    <row r="17" spans="1:17" ht="19" x14ac:dyDescent="0.25">
      <c r="A17" s="5">
        <v>45994</v>
      </c>
      <c r="B17" s="1">
        <v>176.13</v>
      </c>
      <c r="C17" s="1">
        <f t="shared" ref="C17:C80" si="3">(B17-B16)/B16</f>
        <v>-2.334479316845962E-2</v>
      </c>
      <c r="D17" s="1">
        <f t="shared" ref="D17:D80" si="4">(C17-$B$7)^2</f>
        <v>5.4248892166157024E-4</v>
      </c>
      <c r="E17" s="1">
        <v>3</v>
      </c>
      <c r="F17" s="1">
        <f t="shared" si="0"/>
        <v>-2.334479316845962E-2</v>
      </c>
      <c r="G17" s="1">
        <f t="shared" si="1"/>
        <v>5.4248892166157024E-4</v>
      </c>
      <c r="I17" s="1" t="s">
        <v>3</v>
      </c>
      <c r="M17" s="1">
        <v>-0.02</v>
      </c>
      <c r="O17" s="10">
        <v>45993</v>
      </c>
      <c r="P17" s="11">
        <v>626.58000000000004</v>
      </c>
      <c r="Q17" s="1">
        <f t="shared" si="2"/>
        <v>-3.4829906006965043E-3</v>
      </c>
    </row>
    <row r="18" spans="1:17" ht="19" x14ac:dyDescent="0.25">
      <c r="A18" s="5">
        <v>45993</v>
      </c>
      <c r="B18" s="1">
        <v>172.68</v>
      </c>
      <c r="C18" s="1">
        <f t="shared" si="3"/>
        <v>-1.9587804462612778E-2</v>
      </c>
      <c r="D18" s="1">
        <f t="shared" si="4"/>
        <v>3.8159289558990339E-4</v>
      </c>
      <c r="E18" s="1">
        <v>4</v>
      </c>
      <c r="F18" s="1">
        <f t="shared" si="0"/>
        <v>-1.9587804462612778E-2</v>
      </c>
      <c r="G18" s="1">
        <f t="shared" si="1"/>
        <v>3.8159289558990339E-4</v>
      </c>
      <c r="I18" s="1" t="s">
        <v>4</v>
      </c>
      <c r="M18" s="1">
        <v>-0.01</v>
      </c>
      <c r="O18" s="10">
        <v>45992</v>
      </c>
      <c r="P18" s="11">
        <v>625.52</v>
      </c>
      <c r="Q18" s="1">
        <f t="shared" si="2"/>
        <v>-1.6917233234384421E-3</v>
      </c>
    </row>
    <row r="19" spans="1:17" ht="19" x14ac:dyDescent="0.25">
      <c r="A19" s="5">
        <v>45992</v>
      </c>
      <c r="B19" s="1">
        <v>174.2</v>
      </c>
      <c r="C19" s="1">
        <f t="shared" si="3"/>
        <v>8.8024090803797885E-3</v>
      </c>
      <c r="D19" s="1">
        <f t="shared" si="4"/>
        <v>7.8425382629448818E-5</v>
      </c>
      <c r="E19" s="1">
        <v>5</v>
      </c>
      <c r="F19" s="1">
        <f t="shared" si="0"/>
        <v>8.8024090803797885E-3</v>
      </c>
      <c r="G19" s="1">
        <f t="shared" si="1"/>
        <v>7.8425382629448818E-5</v>
      </c>
      <c r="I19" s="1" t="s">
        <v>5</v>
      </c>
      <c r="M19" s="1">
        <v>0</v>
      </c>
      <c r="O19" s="10">
        <v>45989</v>
      </c>
      <c r="P19" s="11">
        <v>628.41</v>
      </c>
      <c r="Q19" s="1">
        <f t="shared" si="2"/>
        <v>4.620156030182866E-3</v>
      </c>
    </row>
    <row r="20" spans="1:17" ht="19" x14ac:dyDescent="0.25">
      <c r="A20" s="5">
        <v>45989</v>
      </c>
      <c r="B20" s="1">
        <v>174.48</v>
      </c>
      <c r="C20" s="1">
        <f t="shared" si="3"/>
        <v>1.607347876004599E-3</v>
      </c>
      <c r="D20" s="1">
        <f t="shared" si="4"/>
        <v>2.758088788803863E-6</v>
      </c>
      <c r="E20" s="1">
        <v>6</v>
      </c>
      <c r="F20" s="1">
        <f t="shared" si="0"/>
        <v>1.607347876004599E-3</v>
      </c>
      <c r="G20" s="1">
        <f t="shared" si="1"/>
        <v>2.758088788803863E-6</v>
      </c>
      <c r="I20" s="1" t="s">
        <v>20</v>
      </c>
      <c r="J20" s="1" t="s">
        <v>18</v>
      </c>
      <c r="K20" s="1" t="s">
        <v>19</v>
      </c>
      <c r="M20" s="1">
        <v>0.01</v>
      </c>
      <c r="O20" s="10">
        <v>45987</v>
      </c>
      <c r="P20" s="11">
        <v>624.95000000000005</v>
      </c>
      <c r="Q20" s="1">
        <f t="shared" si="2"/>
        <v>-5.5059594850494472E-3</v>
      </c>
    </row>
    <row r="21" spans="1:17" ht="19" x14ac:dyDescent="0.25">
      <c r="A21" s="5">
        <v>45987</v>
      </c>
      <c r="B21" s="1">
        <v>173.92</v>
      </c>
      <c r="C21" s="1">
        <f t="shared" si="3"/>
        <v>-3.2095369096744744E-3</v>
      </c>
      <c r="D21" s="1">
        <f t="shared" si="4"/>
        <v>9.9611901561550366E-6</v>
      </c>
      <c r="E21" s="1">
        <v>7</v>
      </c>
      <c r="F21" s="1">
        <f t="shared" si="0"/>
        <v>-3.2095369096744744E-3</v>
      </c>
      <c r="G21" s="1">
        <f t="shared" si="1"/>
        <v>9.9611901561550366E-6</v>
      </c>
      <c r="I21" s="1" t="s">
        <v>17</v>
      </c>
      <c r="M21" s="1">
        <v>0.02</v>
      </c>
      <c r="O21" s="10">
        <v>45986</v>
      </c>
      <c r="P21" s="11">
        <v>620.66</v>
      </c>
      <c r="Q21" s="1">
        <f t="shared" si="2"/>
        <v>-6.8645491639332378E-3</v>
      </c>
    </row>
    <row r="22" spans="1:17" ht="19" x14ac:dyDescent="0.25">
      <c r="A22" s="5">
        <v>45986</v>
      </c>
      <c r="B22" s="1">
        <v>173.62</v>
      </c>
      <c r="C22" s="1">
        <f t="shared" si="3"/>
        <v>-1.7249310027597916E-3</v>
      </c>
      <c r="D22" s="1">
        <f t="shared" si="4"/>
        <v>2.7940105777519908E-6</v>
      </c>
      <c r="E22" s="1">
        <v>8</v>
      </c>
      <c r="F22" s="1">
        <f t="shared" si="0"/>
        <v>-1.7249310027597916E-3</v>
      </c>
      <c r="G22" s="1">
        <f t="shared" si="1"/>
        <v>2.7940105777519908E-6</v>
      </c>
      <c r="I22" s="1" t="s">
        <v>2</v>
      </c>
      <c r="M22" s="1">
        <v>0.03</v>
      </c>
      <c r="O22" s="10">
        <v>45985</v>
      </c>
      <c r="P22" s="11">
        <v>614.94000000000005</v>
      </c>
      <c r="Q22" s="1">
        <f t="shared" si="2"/>
        <v>-9.2159958753583512E-3</v>
      </c>
    </row>
    <row r="23" spans="1:17" ht="19" x14ac:dyDescent="0.25">
      <c r="A23" s="5">
        <v>45985</v>
      </c>
      <c r="B23" s="1">
        <v>170.58</v>
      </c>
      <c r="C23" s="1">
        <f t="shared" si="3"/>
        <v>-1.7509503513420066E-2</v>
      </c>
      <c r="D23" s="1">
        <f t="shared" si="4"/>
        <v>3.0471549436115233E-4</v>
      </c>
      <c r="E23" s="1">
        <v>9</v>
      </c>
      <c r="F23" s="1">
        <f t="shared" si="0"/>
        <v>-1.7509503513420066E-2</v>
      </c>
      <c r="G23" s="1">
        <f t="shared" si="1"/>
        <v>3.0471549436115233E-4</v>
      </c>
      <c r="I23" s="1" t="s">
        <v>3</v>
      </c>
      <c r="M23" s="1">
        <v>0.04</v>
      </c>
      <c r="O23" s="10">
        <v>45982</v>
      </c>
      <c r="P23" s="11">
        <v>605.92999999999995</v>
      </c>
      <c r="Q23" s="1">
        <f t="shared" si="2"/>
        <v>-1.4651835951475109E-2</v>
      </c>
    </row>
    <row r="24" spans="1:17" ht="19" x14ac:dyDescent="0.25">
      <c r="A24" s="5">
        <v>45982</v>
      </c>
      <c r="B24" s="1">
        <v>170.8</v>
      </c>
      <c r="C24" s="1">
        <f t="shared" si="3"/>
        <v>1.2897174346347686E-3</v>
      </c>
      <c r="D24" s="1">
        <f t="shared" si="4"/>
        <v>1.8039687143110256E-6</v>
      </c>
      <c r="E24" s="1">
        <v>10</v>
      </c>
      <c r="F24" s="1">
        <f t="shared" si="0"/>
        <v>1.2897174346347686E-3</v>
      </c>
      <c r="G24" s="1">
        <f t="shared" si="1"/>
        <v>1.8039687143110256E-6</v>
      </c>
      <c r="I24" s="1" t="s">
        <v>4</v>
      </c>
      <c r="M24" s="1">
        <v>0.05</v>
      </c>
      <c r="O24" s="10">
        <v>45981</v>
      </c>
      <c r="P24" s="11">
        <v>599.96</v>
      </c>
      <c r="Q24" s="1">
        <f t="shared" si="2"/>
        <v>-9.8526232403081445E-3</v>
      </c>
    </row>
    <row r="25" spans="1:17" ht="19" x14ac:dyDescent="0.25">
      <c r="A25" s="5">
        <v>45981</v>
      </c>
      <c r="B25" s="1">
        <v>167.77</v>
      </c>
      <c r="C25" s="1">
        <f t="shared" si="3"/>
        <v>-1.7740046838407499E-2</v>
      </c>
      <c r="D25" s="1">
        <f t="shared" si="4"/>
        <v>3.1281742014334244E-4</v>
      </c>
      <c r="E25" s="1">
        <v>11</v>
      </c>
      <c r="F25" s="1">
        <f t="shared" si="0"/>
        <v>-1.7740046838407499E-2</v>
      </c>
      <c r="G25" s="1">
        <f t="shared" si="1"/>
        <v>3.1281742014334244E-4</v>
      </c>
      <c r="I25" s="1" t="s">
        <v>5</v>
      </c>
      <c r="M25" s="1">
        <v>0.06</v>
      </c>
      <c r="O25" s="10">
        <v>45980</v>
      </c>
      <c r="P25" s="11">
        <v>609.20000000000005</v>
      </c>
      <c r="Q25" s="1">
        <f t="shared" si="2"/>
        <v>1.5401026735115689E-2</v>
      </c>
    </row>
    <row r="26" spans="1:17" ht="19" x14ac:dyDescent="0.25">
      <c r="A26" s="5">
        <v>45980</v>
      </c>
      <c r="B26" s="1">
        <v>165.8</v>
      </c>
      <c r="C26" s="1">
        <f t="shared" si="3"/>
        <v>-1.1742266197770751E-2</v>
      </c>
      <c r="D26" s="1">
        <f t="shared" si="4"/>
        <v>1.3662955581901173E-4</v>
      </c>
      <c r="E26" s="1">
        <v>12</v>
      </c>
      <c r="F26" s="1">
        <f t="shared" si="0"/>
        <v>-1.1742266197770751E-2</v>
      </c>
      <c r="G26" s="1">
        <f t="shared" si="1"/>
        <v>1.3662955581901173E-4</v>
      </c>
      <c r="I26" s="1" t="s">
        <v>21</v>
      </c>
      <c r="J26" s="1" t="s">
        <v>18</v>
      </c>
      <c r="K26" s="1" t="s">
        <v>19</v>
      </c>
      <c r="M26" s="1">
        <v>7.0000000000000007E-2</v>
      </c>
      <c r="O26" s="10">
        <v>45979</v>
      </c>
      <c r="P26" s="11">
        <v>607</v>
      </c>
      <c r="Q26" s="1">
        <f t="shared" si="2"/>
        <v>-3.6112934996717751E-3</v>
      </c>
    </row>
    <row r="27" spans="1:17" ht="19" x14ac:dyDescent="0.25">
      <c r="A27" s="5">
        <v>45979</v>
      </c>
      <c r="B27" s="1">
        <v>163.94</v>
      </c>
      <c r="C27" s="1">
        <f t="shared" si="3"/>
        <v>-1.1218335343787777E-2</v>
      </c>
      <c r="D27" s="1">
        <f t="shared" si="4"/>
        <v>1.2465574572667601E-4</v>
      </c>
      <c r="E27" s="1">
        <v>13</v>
      </c>
      <c r="F27" s="1">
        <f t="shared" si="0"/>
        <v>-1.1218335343787777E-2</v>
      </c>
      <c r="G27" s="1">
        <f t="shared" si="1"/>
        <v>1.2465574572667601E-4</v>
      </c>
      <c r="I27" s="1" t="s">
        <v>17</v>
      </c>
      <c r="M27" s="1">
        <v>0.08</v>
      </c>
      <c r="O27" s="10">
        <v>45978</v>
      </c>
      <c r="P27" s="11">
        <v>612.04</v>
      </c>
      <c r="Q27" s="1">
        <f t="shared" si="2"/>
        <v>8.3031301482701207E-3</v>
      </c>
    </row>
    <row r="28" spans="1:17" ht="19" x14ac:dyDescent="0.25">
      <c r="A28" s="5">
        <v>45978</v>
      </c>
      <c r="B28" s="1">
        <v>163.63999999999999</v>
      </c>
      <c r="C28" s="1">
        <f t="shared" si="3"/>
        <v>-1.8299377821154774E-3</v>
      </c>
      <c r="D28" s="1">
        <f t="shared" si="4"/>
        <v>3.1560808419289986E-6</v>
      </c>
      <c r="E28" s="1">
        <v>14</v>
      </c>
      <c r="F28" s="1">
        <f t="shared" si="0"/>
        <v>-1.8299377821154774E-3</v>
      </c>
      <c r="G28" s="1">
        <f t="shared" si="1"/>
        <v>3.1560808419289986E-6</v>
      </c>
      <c r="I28" s="1" t="s">
        <v>2</v>
      </c>
      <c r="O28" s="10">
        <v>45975</v>
      </c>
      <c r="P28" s="11">
        <v>617.83000000000004</v>
      </c>
      <c r="Q28" s="1">
        <f t="shared" si="2"/>
        <v>9.4601660022222041E-3</v>
      </c>
    </row>
    <row r="29" spans="1:17" ht="19" x14ac:dyDescent="0.25">
      <c r="A29" s="5">
        <v>45975</v>
      </c>
      <c r="B29" s="1">
        <v>164.02</v>
      </c>
      <c r="C29" s="1">
        <f t="shared" si="3"/>
        <v>2.3221706184308475E-3</v>
      </c>
      <c r="D29" s="1">
        <f t="shared" si="4"/>
        <v>5.6433433174251031E-6</v>
      </c>
      <c r="E29" s="1">
        <v>15</v>
      </c>
      <c r="F29" s="1">
        <f t="shared" si="0"/>
        <v>2.3221706184308475E-3</v>
      </c>
      <c r="G29" s="1">
        <f t="shared" si="1"/>
        <v>5.6433433174251031E-6</v>
      </c>
      <c r="I29" s="1" t="s">
        <v>3</v>
      </c>
      <c r="O29" s="10">
        <v>45974</v>
      </c>
      <c r="P29" s="11">
        <v>617.99</v>
      </c>
      <c r="Q29" s="1">
        <f t="shared" si="2"/>
        <v>2.5897091432913288E-4</v>
      </c>
    </row>
    <row r="30" spans="1:17" ht="19" x14ac:dyDescent="0.25">
      <c r="A30" s="5">
        <v>45974</v>
      </c>
      <c r="B30" s="1">
        <v>165.27</v>
      </c>
      <c r="C30" s="1">
        <f t="shared" si="3"/>
        <v>7.6210218266065111E-3</v>
      </c>
      <c r="D30" s="1">
        <f t="shared" si="4"/>
        <v>5.8896774777216504E-5</v>
      </c>
      <c r="E30" s="1">
        <v>16</v>
      </c>
      <c r="F30" s="1">
        <f t="shared" si="0"/>
        <v>7.6210218266065111E-3</v>
      </c>
      <c r="G30" s="1">
        <f t="shared" si="1"/>
        <v>5.8896774777216504E-5</v>
      </c>
      <c r="I30" s="1" t="s">
        <v>4</v>
      </c>
      <c r="O30" s="10">
        <v>45973</v>
      </c>
      <c r="P30" s="11">
        <v>628.22</v>
      </c>
      <c r="Q30" s="1">
        <f t="shared" si="2"/>
        <v>1.655366591692425E-2</v>
      </c>
    </row>
    <row r="31" spans="1:17" ht="19" x14ac:dyDescent="0.25">
      <c r="A31" s="5">
        <v>45973</v>
      </c>
      <c r="B31" s="1">
        <v>167.17</v>
      </c>
      <c r="C31" s="1">
        <f t="shared" si="3"/>
        <v>1.1496339323531054E-2</v>
      </c>
      <c r="D31" s="1">
        <f t="shared" si="4"/>
        <v>1.3339651516947965E-4</v>
      </c>
      <c r="E31" s="1">
        <v>17</v>
      </c>
      <c r="F31" s="1">
        <f t="shared" si="0"/>
        <v>1.1496339323531054E-2</v>
      </c>
      <c r="G31" s="1">
        <f t="shared" si="1"/>
        <v>1.3339651516947965E-4</v>
      </c>
      <c r="I31" s="1" t="s">
        <v>5</v>
      </c>
      <c r="O31" s="10">
        <v>45972</v>
      </c>
      <c r="P31" s="11">
        <v>627.91</v>
      </c>
      <c r="Q31" s="1">
        <f t="shared" si="2"/>
        <v>-4.9345770589930135E-4</v>
      </c>
    </row>
    <row r="32" spans="1:17" ht="19" x14ac:dyDescent="0.25">
      <c r="A32" s="5">
        <v>45972</v>
      </c>
      <c r="B32" s="1">
        <v>165.73</v>
      </c>
      <c r="C32" s="1">
        <f t="shared" si="3"/>
        <v>-8.6139857629957406E-3</v>
      </c>
      <c r="D32" s="1">
        <f t="shared" si="4"/>
        <v>7.3283601383103414E-5</v>
      </c>
      <c r="E32" s="1">
        <v>18</v>
      </c>
      <c r="F32" s="1">
        <f t="shared" si="0"/>
        <v>-8.6139857629957406E-3</v>
      </c>
      <c r="G32" s="1">
        <f t="shared" si="1"/>
        <v>7.3283601383103414E-5</v>
      </c>
      <c r="O32" s="10">
        <v>45971</v>
      </c>
      <c r="P32" s="11">
        <v>626.47</v>
      </c>
      <c r="Q32" s="1">
        <f t="shared" si="2"/>
        <v>-2.2933222914110953E-3</v>
      </c>
    </row>
    <row r="33" spans="1:17" ht="20" thickBot="1" x14ac:dyDescent="0.3">
      <c r="A33" s="5">
        <v>45971</v>
      </c>
      <c r="B33" s="1">
        <v>162.61000000000001</v>
      </c>
      <c r="C33" s="1">
        <f t="shared" si="3"/>
        <v>-1.8825801001629013E-2</v>
      </c>
      <c r="D33" s="1">
        <f t="shared" si="4"/>
        <v>3.5240297967007627E-4</v>
      </c>
      <c r="E33" s="1">
        <v>19</v>
      </c>
      <c r="F33" s="1">
        <f t="shared" si="0"/>
        <v>-1.8825801001629013E-2</v>
      </c>
      <c r="G33" s="1">
        <f t="shared" si="1"/>
        <v>3.5240297967007627E-4</v>
      </c>
      <c r="O33" s="10">
        <v>45968</v>
      </c>
      <c r="P33" s="11">
        <v>616.89</v>
      </c>
      <c r="Q33" s="1">
        <f t="shared" si="2"/>
        <v>-1.5292033138059349E-2</v>
      </c>
    </row>
    <row r="34" spans="1:17" ht="19" x14ac:dyDescent="0.25">
      <c r="A34" s="5">
        <v>45968</v>
      </c>
      <c r="B34" s="1">
        <v>160.80000000000001</v>
      </c>
      <c r="C34" s="1">
        <f t="shared" si="3"/>
        <v>-1.1130926757272014E-2</v>
      </c>
      <c r="D34" s="1">
        <f t="shared" si="4"/>
        <v>1.2271156383174961E-4</v>
      </c>
      <c r="E34" s="1">
        <v>20</v>
      </c>
      <c r="F34" s="1">
        <f t="shared" si="0"/>
        <v>-1.1130926757272014E-2</v>
      </c>
      <c r="G34" s="1">
        <f t="shared" si="1"/>
        <v>1.2271156383174961E-4</v>
      </c>
      <c r="I34" s="6" t="s">
        <v>48</v>
      </c>
      <c r="J34" s="6"/>
      <c r="O34" s="10">
        <v>45967</v>
      </c>
      <c r="P34" s="11">
        <v>616.24</v>
      </c>
      <c r="Q34" s="1">
        <f t="shared" si="2"/>
        <v>-1.0536724537599529E-3</v>
      </c>
    </row>
    <row r="35" spans="1:17" ht="19" x14ac:dyDescent="0.25">
      <c r="A35" s="5">
        <v>45967</v>
      </c>
      <c r="B35" s="1">
        <v>163.08000000000001</v>
      </c>
      <c r="C35" s="1">
        <f t="shared" si="3"/>
        <v>1.4179104477611946E-2</v>
      </c>
      <c r="D35" s="1">
        <f t="shared" si="4"/>
        <v>2.0256422896434777E-4</v>
      </c>
      <c r="E35" s="1">
        <v>21</v>
      </c>
      <c r="F35" s="1">
        <f t="shared" si="0"/>
        <v>1.4179104477611946E-2</v>
      </c>
      <c r="G35" s="1">
        <f t="shared" si="1"/>
        <v>2.0256422896434777E-4</v>
      </c>
      <c r="O35" s="10">
        <v>45966</v>
      </c>
      <c r="P35" s="11">
        <v>622.86</v>
      </c>
      <c r="Q35" s="1">
        <f t="shared" si="2"/>
        <v>1.0742567830715312E-2</v>
      </c>
    </row>
    <row r="36" spans="1:17" ht="19" x14ac:dyDescent="0.25">
      <c r="A36" s="5">
        <v>45966</v>
      </c>
      <c r="B36" s="1">
        <v>159.83000000000001</v>
      </c>
      <c r="C36" s="1">
        <f t="shared" si="3"/>
        <v>-1.9928869266617608E-2</v>
      </c>
      <c r="D36" s="1">
        <f t="shared" si="4"/>
        <v>3.9503421536463867E-4</v>
      </c>
      <c r="E36" s="1">
        <v>22</v>
      </c>
      <c r="F36" s="1">
        <f t="shared" si="0"/>
        <v>-1.9928869266617608E-2</v>
      </c>
      <c r="G36" s="1">
        <f t="shared" si="1"/>
        <v>3.9503421536463867E-4</v>
      </c>
      <c r="I36" s="1" t="s">
        <v>33</v>
      </c>
      <c r="J36" s="1">
        <v>-5.361691898265615E-5</v>
      </c>
      <c r="O36" s="10">
        <v>45965</v>
      </c>
      <c r="P36" s="11">
        <v>620.99</v>
      </c>
      <c r="Q36" s="1">
        <f t="shared" si="2"/>
        <v>-3.002279806055943E-3</v>
      </c>
    </row>
    <row r="37" spans="1:17" ht="19" x14ac:dyDescent="0.25">
      <c r="A37" s="5">
        <v>45965</v>
      </c>
      <c r="B37" s="1">
        <v>152.41999999999999</v>
      </c>
      <c r="C37" s="1">
        <f t="shared" si="3"/>
        <v>-4.6361759369330069E-2</v>
      </c>
      <c r="D37" s="1">
        <f t="shared" si="4"/>
        <v>2.1444640002192955E-3</v>
      </c>
      <c r="E37" s="1">
        <v>23</v>
      </c>
      <c r="F37" s="1">
        <f t="shared" si="0"/>
        <v>-4.6361759369330069E-2</v>
      </c>
      <c r="G37" s="1">
        <f t="shared" si="1"/>
        <v>2.1444640002192955E-3</v>
      </c>
      <c r="I37" s="1" t="s">
        <v>34</v>
      </c>
      <c r="J37" s="1">
        <v>9.1501473742871533E-4</v>
      </c>
      <c r="O37" s="10">
        <v>45964</v>
      </c>
      <c r="P37" s="11">
        <v>628.27</v>
      </c>
      <c r="Q37" s="1">
        <f t="shared" si="2"/>
        <v>1.172321615484947E-2</v>
      </c>
    </row>
    <row r="38" spans="1:17" ht="19" x14ac:dyDescent="0.25">
      <c r="A38" s="5">
        <v>45964</v>
      </c>
      <c r="B38" s="1">
        <v>150.63</v>
      </c>
      <c r="C38" s="1">
        <f t="shared" si="3"/>
        <v>-1.1743865634431127E-2</v>
      </c>
      <c r="D38" s="1">
        <f t="shared" si="4"/>
        <v>1.3666694957435306E-4</v>
      </c>
      <c r="E38" s="1">
        <v>24</v>
      </c>
      <c r="F38" s="1">
        <f t="shared" si="0"/>
        <v>-1.1743865634431127E-2</v>
      </c>
      <c r="G38" s="1">
        <f t="shared" si="1"/>
        <v>1.3666694957435306E-4</v>
      </c>
      <c r="I38" s="1" t="s">
        <v>35</v>
      </c>
      <c r="J38" s="1">
        <v>-5.4221598929338145E-4</v>
      </c>
      <c r="O38" s="10">
        <v>45961</v>
      </c>
      <c r="P38" s="11">
        <v>627.04</v>
      </c>
      <c r="Q38" s="1">
        <f t="shared" si="2"/>
        <v>-1.9577570152960007E-3</v>
      </c>
    </row>
    <row r="39" spans="1:17" ht="19" x14ac:dyDescent="0.25">
      <c r="A39" s="5">
        <v>45961</v>
      </c>
      <c r="B39" s="1">
        <v>148.94</v>
      </c>
      <c r="C39" s="1">
        <f t="shared" si="3"/>
        <v>-1.1219544579433033E-2</v>
      </c>
      <c r="D39" s="1">
        <f t="shared" si="4"/>
        <v>1.2468274926067088E-4</v>
      </c>
      <c r="E39" s="1">
        <v>25</v>
      </c>
      <c r="F39" s="1">
        <f t="shared" si="0"/>
        <v>-1.1219544579433033E-2</v>
      </c>
      <c r="G39" s="1">
        <f t="shared" si="1"/>
        <v>1.2468274926067088E-4</v>
      </c>
      <c r="I39" s="1" t="s">
        <v>36</v>
      </c>
      <c r="J39" s="1" t="e">
        <v>#N/A</v>
      </c>
      <c r="O39" s="10">
        <v>45960</v>
      </c>
      <c r="P39" s="11">
        <v>625.24</v>
      </c>
      <c r="Q39" s="1">
        <f t="shared" si="2"/>
        <v>-2.8706302628220761E-3</v>
      </c>
    </row>
    <row r="40" spans="1:17" ht="19" x14ac:dyDescent="0.25">
      <c r="A40" s="5">
        <v>45960</v>
      </c>
      <c r="B40" s="1">
        <v>149.88</v>
      </c>
      <c r="C40" s="1">
        <f t="shared" si="3"/>
        <v>6.3112662817241694E-3</v>
      </c>
      <c r="D40" s="1">
        <f t="shared" si="4"/>
        <v>4.0508997117240229E-5</v>
      </c>
      <c r="E40" s="1">
        <v>26</v>
      </c>
      <c r="F40" s="1">
        <f t="shared" si="0"/>
        <v>6.3112662817241694E-3</v>
      </c>
      <c r="G40" s="1">
        <f t="shared" si="1"/>
        <v>4.0508997117240229E-5</v>
      </c>
      <c r="I40" s="1" t="s">
        <v>37</v>
      </c>
      <c r="J40" s="1">
        <v>1.4409666494701108E-2</v>
      </c>
      <c r="O40" s="10">
        <v>45959</v>
      </c>
      <c r="P40" s="11">
        <v>631.95000000000005</v>
      </c>
      <c r="Q40" s="1">
        <f t="shared" si="2"/>
        <v>1.0731878958480002E-2</v>
      </c>
    </row>
    <row r="41" spans="1:17" ht="19" x14ac:dyDescent="0.25">
      <c r="A41" s="5">
        <v>45959</v>
      </c>
      <c r="B41" s="1">
        <v>149.88999999999999</v>
      </c>
      <c r="C41" s="1">
        <f t="shared" si="3"/>
        <v>6.6720042700766654E-5</v>
      </c>
      <c r="D41" s="1">
        <f t="shared" si="4"/>
        <v>1.4429206640477548E-8</v>
      </c>
      <c r="E41" s="1">
        <v>27</v>
      </c>
      <c r="F41" s="1">
        <f t="shared" si="0"/>
        <v>6.6720042700766654E-5</v>
      </c>
      <c r="G41" s="1">
        <f t="shared" si="1"/>
        <v>1.4429206640477548E-8</v>
      </c>
      <c r="I41" s="1" t="s">
        <v>38</v>
      </c>
      <c r="J41" s="1">
        <v>2.0763848848851172E-4</v>
      </c>
      <c r="O41" s="10">
        <v>45958</v>
      </c>
      <c r="P41" s="11">
        <v>631.69000000000005</v>
      </c>
      <c r="Q41" s="1">
        <f t="shared" si="2"/>
        <v>-4.1142495450588001E-4</v>
      </c>
    </row>
    <row r="42" spans="1:17" ht="19" x14ac:dyDescent="0.25">
      <c r="A42" s="5">
        <v>45958</v>
      </c>
      <c r="B42" s="1">
        <v>154.30000000000001</v>
      </c>
      <c r="C42" s="1">
        <f t="shared" si="3"/>
        <v>2.9421575822269834E-2</v>
      </c>
      <c r="D42" s="1">
        <f t="shared" si="4"/>
        <v>8.6877429345327221E-4</v>
      </c>
      <c r="E42" s="1">
        <v>28</v>
      </c>
      <c r="F42" s="1">
        <f t="shared" si="0"/>
        <v>2.9421575822269834E-2</v>
      </c>
      <c r="G42" s="1">
        <f t="shared" si="1"/>
        <v>8.6877429345327221E-4</v>
      </c>
      <c r="I42" s="1" t="s">
        <v>39</v>
      </c>
      <c r="J42" s="1">
        <v>5.1810810094129591</v>
      </c>
      <c r="O42" s="10">
        <v>45957</v>
      </c>
      <c r="P42" s="11">
        <v>630</v>
      </c>
      <c r="Q42" s="1">
        <f t="shared" si="2"/>
        <v>-2.6753629153541364E-3</v>
      </c>
    </row>
    <row r="43" spans="1:17" ht="19" x14ac:dyDescent="0.25">
      <c r="A43" s="5">
        <v>45957</v>
      </c>
      <c r="B43" s="1">
        <v>156.30000000000001</v>
      </c>
      <c r="C43" s="1">
        <f t="shared" si="3"/>
        <v>1.2961762799740763E-2</v>
      </c>
      <c r="D43" s="1">
        <f t="shared" si="4"/>
        <v>1.6939450409173546E-4</v>
      </c>
      <c r="E43" s="1">
        <v>29</v>
      </c>
      <c r="F43" s="1">
        <f t="shared" si="0"/>
        <v>1.2961762799740763E-2</v>
      </c>
      <c r="G43" s="1">
        <f t="shared" si="1"/>
        <v>1.6939450409173546E-4</v>
      </c>
      <c r="I43" s="1" t="s">
        <v>40</v>
      </c>
      <c r="J43" s="1">
        <v>0.79616418992051796</v>
      </c>
      <c r="O43" s="10">
        <v>45954</v>
      </c>
      <c r="P43" s="11">
        <v>622.54999999999995</v>
      </c>
      <c r="Q43" s="1">
        <f t="shared" si="2"/>
        <v>-1.1825396825396897E-2</v>
      </c>
    </row>
    <row r="44" spans="1:17" ht="19" x14ac:dyDescent="0.25">
      <c r="A44" s="5">
        <v>45954</v>
      </c>
      <c r="B44" s="1">
        <v>155.83000000000001</v>
      </c>
      <c r="C44" s="1">
        <f t="shared" si="3"/>
        <v>-3.0070377479206579E-3</v>
      </c>
      <c r="D44" s="1">
        <f t="shared" si="4"/>
        <v>8.7239665534309008E-6</v>
      </c>
      <c r="E44" s="1">
        <v>30</v>
      </c>
      <c r="F44" s="1">
        <f t="shared" si="0"/>
        <v>-3.0070377479206579E-3</v>
      </c>
      <c r="G44" s="1">
        <f t="shared" si="1"/>
        <v>8.7239665534309008E-6</v>
      </c>
      <c r="I44" s="1" t="s">
        <v>41</v>
      </c>
      <c r="J44" s="1">
        <v>0.12254037728771826</v>
      </c>
      <c r="O44" s="10">
        <v>45953</v>
      </c>
      <c r="P44" s="11">
        <v>617.44000000000005</v>
      </c>
      <c r="Q44" s="1">
        <f t="shared" si="2"/>
        <v>-8.2081760501162958E-3</v>
      </c>
    </row>
    <row r="45" spans="1:17" ht="19" x14ac:dyDescent="0.25">
      <c r="A45" s="5">
        <v>45953</v>
      </c>
      <c r="B45" s="1">
        <v>155.72</v>
      </c>
      <c r="C45" s="1">
        <f t="shared" si="3"/>
        <v>-7.0589745235200951E-4</v>
      </c>
      <c r="D45" s="1">
        <f t="shared" si="4"/>
        <v>4.2575085039855332E-7</v>
      </c>
      <c r="E45" s="1">
        <v>31</v>
      </c>
      <c r="F45" s="1">
        <f t="shared" si="0"/>
        <v>-7.0589745235200951E-4</v>
      </c>
      <c r="G45" s="1">
        <f t="shared" si="1"/>
        <v>4.2575085039855332E-7</v>
      </c>
      <c r="I45" s="1" t="s">
        <v>42</v>
      </c>
      <c r="J45" s="1">
        <v>-4.6361759369330069E-2</v>
      </c>
      <c r="O45" s="10">
        <v>45952</v>
      </c>
      <c r="P45" s="11">
        <v>613.97</v>
      </c>
      <c r="Q45" s="1">
        <f t="shared" si="2"/>
        <v>-5.6199792692407796E-3</v>
      </c>
    </row>
    <row r="46" spans="1:17" ht="19" x14ac:dyDescent="0.25">
      <c r="A46" s="5">
        <v>45952</v>
      </c>
      <c r="B46" s="1">
        <v>157</v>
      </c>
      <c r="C46" s="1">
        <f t="shared" si="3"/>
        <v>8.2198818391985683E-3</v>
      </c>
      <c r="D46" s="1">
        <f t="shared" si="4"/>
        <v>6.8447218699698695E-5</v>
      </c>
      <c r="E46" s="1">
        <v>32</v>
      </c>
      <c r="F46" s="1">
        <f t="shared" si="0"/>
        <v>8.2198818391985683E-3</v>
      </c>
      <c r="G46" s="1">
        <f t="shared" si="1"/>
        <v>6.8447218699698695E-5</v>
      </c>
      <c r="I46" s="1" t="s">
        <v>43</v>
      </c>
      <c r="J46" s="1">
        <v>7.6178617918388189E-2</v>
      </c>
      <c r="O46" s="10">
        <v>45951</v>
      </c>
      <c r="P46" s="11">
        <v>617.09</v>
      </c>
      <c r="Q46" s="1">
        <f t="shared" si="2"/>
        <v>5.0816815153834948E-3</v>
      </c>
    </row>
    <row r="47" spans="1:17" ht="19" x14ac:dyDescent="0.25">
      <c r="A47" s="5">
        <v>45951</v>
      </c>
      <c r="B47" s="1">
        <v>156.91999999999999</v>
      </c>
      <c r="C47" s="1">
        <f t="shared" si="3"/>
        <v>-5.0955414012746818E-4</v>
      </c>
      <c r="D47" s="1">
        <f t="shared" si="4"/>
        <v>2.0807514899622395E-7</v>
      </c>
      <c r="E47" s="1">
        <v>33</v>
      </c>
      <c r="F47" s="1">
        <f t="shared" si="0"/>
        <v>-5.0955414012746818E-4</v>
      </c>
      <c r="G47" s="1">
        <f t="shared" si="1"/>
        <v>2.0807514899622395E-7</v>
      </c>
      <c r="I47" s="1" t="s">
        <v>44</v>
      </c>
      <c r="J47" s="1">
        <v>-1.3296995907698726E-2</v>
      </c>
      <c r="O47" s="10">
        <v>45950</v>
      </c>
      <c r="P47" s="11">
        <v>617.16999999999996</v>
      </c>
      <c r="Q47" s="1">
        <f t="shared" si="2"/>
        <v>1.2964073311822787E-4</v>
      </c>
    </row>
    <row r="48" spans="1:17" ht="19" x14ac:dyDescent="0.25">
      <c r="A48" s="5">
        <v>45950</v>
      </c>
      <c r="B48" s="1">
        <v>155.07</v>
      </c>
      <c r="C48" s="1">
        <f t="shared" si="3"/>
        <v>-1.1789446851899022E-2</v>
      </c>
      <c r="D48" s="1">
        <f t="shared" si="4"/>
        <v>1.3773475838955944E-4</v>
      </c>
      <c r="E48" s="1">
        <v>34</v>
      </c>
      <c r="F48" s="1">
        <f t="shared" si="0"/>
        <v>-1.1789446851899022E-2</v>
      </c>
      <c r="G48" s="1">
        <f t="shared" si="1"/>
        <v>1.3773475838955944E-4</v>
      </c>
      <c r="I48" s="1" t="s">
        <v>45</v>
      </c>
      <c r="J48" s="1">
        <v>248</v>
      </c>
      <c r="O48" s="10">
        <v>45947</v>
      </c>
      <c r="P48" s="11">
        <v>610.76</v>
      </c>
      <c r="Q48" s="1">
        <f t="shared" si="2"/>
        <v>-1.038611727724933E-2</v>
      </c>
    </row>
    <row r="49" spans="1:17" ht="20" thickBot="1" x14ac:dyDescent="0.3">
      <c r="A49" s="5">
        <v>45947</v>
      </c>
      <c r="B49" s="1">
        <v>152.93</v>
      </c>
      <c r="C49" s="1">
        <f t="shared" si="3"/>
        <v>-1.3800219255819864E-2</v>
      </c>
      <c r="D49" s="1">
        <f t="shared" si="4"/>
        <v>1.8897499593755122E-4</v>
      </c>
      <c r="E49" s="1">
        <v>35</v>
      </c>
      <c r="F49" s="1">
        <f t="shared" si="0"/>
        <v>-1.3800219255819864E-2</v>
      </c>
      <c r="G49" s="1">
        <f t="shared" si="1"/>
        <v>1.8897499593755122E-4</v>
      </c>
      <c r="I49" s="7" t="s">
        <v>46</v>
      </c>
      <c r="J49" s="7">
        <v>1.8022265280497388E-3</v>
      </c>
      <c r="O49" s="10">
        <v>45946</v>
      </c>
      <c r="P49" s="11">
        <v>607.39</v>
      </c>
      <c r="Q49" s="1">
        <f t="shared" si="2"/>
        <v>-5.517715632981866E-3</v>
      </c>
    </row>
    <row r="50" spans="1:17" ht="19" x14ac:dyDescent="0.25">
      <c r="A50" s="5">
        <v>45946</v>
      </c>
      <c r="B50" s="1">
        <v>152.94</v>
      </c>
      <c r="C50" s="1">
        <f t="shared" si="3"/>
        <v>6.538939384025962E-5</v>
      </c>
      <c r="D50" s="1">
        <f t="shared" si="4"/>
        <v>1.4111297839541075E-8</v>
      </c>
      <c r="E50" s="1">
        <v>36</v>
      </c>
      <c r="F50" s="1">
        <f t="shared" si="0"/>
        <v>6.538939384025962E-5</v>
      </c>
      <c r="G50" s="1">
        <f t="shared" si="1"/>
        <v>1.4111297839541075E-8</v>
      </c>
      <c r="O50" s="10">
        <v>45945</v>
      </c>
      <c r="P50" s="11">
        <v>611.42999999999995</v>
      </c>
      <c r="Q50" s="1">
        <f t="shared" si="2"/>
        <v>6.6514101318756709E-3</v>
      </c>
    </row>
    <row r="51" spans="1:17" ht="19" x14ac:dyDescent="0.25">
      <c r="A51" s="5">
        <v>45945</v>
      </c>
      <c r="B51" s="1">
        <v>154.46</v>
      </c>
      <c r="C51" s="1">
        <f t="shared" si="3"/>
        <v>9.9385379887538261E-3</v>
      </c>
      <c r="D51" s="1">
        <f t="shared" si="4"/>
        <v>9.9838856545282485E-5</v>
      </c>
      <c r="E51" s="1">
        <v>37</v>
      </c>
      <c r="F51" s="1">
        <f t="shared" si="0"/>
        <v>9.9385379887538261E-3</v>
      </c>
      <c r="G51" s="1">
        <f t="shared" si="1"/>
        <v>9.9838856545282485E-5</v>
      </c>
      <c r="O51" s="10">
        <v>45944</v>
      </c>
      <c r="P51" s="11">
        <v>608.75</v>
      </c>
      <c r="Q51" s="1">
        <f t="shared" si="2"/>
        <v>-4.3831673290482152E-3</v>
      </c>
    </row>
    <row r="52" spans="1:17" ht="19" x14ac:dyDescent="0.25">
      <c r="A52" s="5">
        <v>45944</v>
      </c>
      <c r="B52" s="1">
        <v>154.12</v>
      </c>
      <c r="C52" s="1">
        <f t="shared" si="3"/>
        <v>-2.2012171435970697E-3</v>
      </c>
      <c r="D52" s="1">
        <f t="shared" si="4"/>
        <v>4.6131116523131873E-6</v>
      </c>
      <c r="E52" s="1">
        <v>38</v>
      </c>
      <c r="F52" s="1">
        <f t="shared" si="0"/>
        <v>-2.2012171435970697E-3</v>
      </c>
      <c r="G52" s="1">
        <f t="shared" si="1"/>
        <v>4.6131116523131873E-6</v>
      </c>
      <c r="O52" s="10">
        <v>45943</v>
      </c>
      <c r="P52" s="11">
        <v>609.61</v>
      </c>
      <c r="Q52" s="1">
        <f t="shared" si="2"/>
        <v>1.4127310061601867E-3</v>
      </c>
    </row>
    <row r="53" spans="1:17" ht="19" x14ac:dyDescent="0.25">
      <c r="A53" s="5">
        <v>45943</v>
      </c>
      <c r="B53" s="1">
        <v>152.19</v>
      </c>
      <c r="C53" s="1">
        <f t="shared" si="3"/>
        <v>-1.2522709576953067E-2</v>
      </c>
      <c r="D53" s="1">
        <f t="shared" si="4"/>
        <v>1.5548364167372204E-4</v>
      </c>
      <c r="E53" s="1">
        <v>39</v>
      </c>
      <c r="F53" s="1">
        <f t="shared" si="0"/>
        <v>-1.2522709576953067E-2</v>
      </c>
      <c r="G53" s="1">
        <f t="shared" si="1"/>
        <v>1.5548364167372204E-4</v>
      </c>
      <c r="O53" s="10">
        <v>45940</v>
      </c>
      <c r="P53" s="11">
        <v>600.51</v>
      </c>
      <c r="Q53" s="1">
        <f t="shared" si="2"/>
        <v>-1.4927576647364745E-2</v>
      </c>
    </row>
    <row r="54" spans="1:17" ht="19" x14ac:dyDescent="0.25">
      <c r="A54" s="5">
        <v>45940</v>
      </c>
      <c r="B54" s="1">
        <v>151.54</v>
      </c>
      <c r="C54" s="1">
        <f t="shared" si="3"/>
        <v>-4.2709770681385482E-3</v>
      </c>
      <c r="D54" s="1">
        <f t="shared" si="4"/>
        <v>1.7787942913873558E-5</v>
      </c>
      <c r="E54" s="1">
        <v>40</v>
      </c>
      <c r="F54" s="1">
        <f t="shared" si="0"/>
        <v>-4.2709770681385482E-3</v>
      </c>
      <c r="G54" s="1">
        <f t="shared" si="1"/>
        <v>1.7787942913873558E-5</v>
      </c>
      <c r="O54" s="10">
        <v>45939</v>
      </c>
      <c r="P54" s="11">
        <v>617.1</v>
      </c>
      <c r="Q54" s="1">
        <f t="shared" si="2"/>
        <v>2.7626517460158918E-2</v>
      </c>
    </row>
    <row r="55" spans="1:17" ht="19" x14ac:dyDescent="0.25">
      <c r="A55" s="5">
        <v>45939</v>
      </c>
      <c r="B55" s="1">
        <v>149.32</v>
      </c>
      <c r="C55" s="1">
        <f t="shared" si="3"/>
        <v>-1.4649597466015567E-2</v>
      </c>
      <c r="D55" s="1">
        <f t="shared" si="4"/>
        <v>2.1304893405128366E-4</v>
      </c>
      <c r="E55" s="1">
        <v>41</v>
      </c>
      <c r="F55" s="1">
        <f t="shared" si="0"/>
        <v>-1.4649597466015567E-2</v>
      </c>
      <c r="G55" s="1">
        <f t="shared" si="1"/>
        <v>2.1304893405128366E-4</v>
      </c>
      <c r="O55" s="10">
        <v>45938</v>
      </c>
      <c r="P55" s="11">
        <v>618.77</v>
      </c>
      <c r="Q55" s="1">
        <f t="shared" si="2"/>
        <v>2.7062064495218911E-3</v>
      </c>
    </row>
    <row r="56" spans="1:17" ht="19" x14ac:dyDescent="0.25">
      <c r="A56" s="5">
        <v>45938</v>
      </c>
      <c r="B56" s="1">
        <v>149.43</v>
      </c>
      <c r="C56" s="1">
        <f t="shared" si="3"/>
        <v>7.3667291722484356E-4</v>
      </c>
      <c r="D56" s="1">
        <f t="shared" si="4"/>
        <v>6.2421772695197559E-7</v>
      </c>
      <c r="E56" s="1">
        <v>42</v>
      </c>
      <c r="F56" s="1">
        <f t="shared" si="0"/>
        <v>7.3667291722484356E-4</v>
      </c>
      <c r="G56" s="1">
        <f t="shared" si="1"/>
        <v>6.2421772695197559E-7</v>
      </c>
      <c r="O56" s="10">
        <v>45937</v>
      </c>
      <c r="P56" s="11">
        <v>615.20000000000005</v>
      </c>
      <c r="Q56" s="1">
        <f t="shared" si="2"/>
        <v>-5.769510480469215E-3</v>
      </c>
    </row>
    <row r="57" spans="1:17" ht="19" x14ac:dyDescent="0.25">
      <c r="A57" s="5">
        <v>45937</v>
      </c>
      <c r="B57" s="1">
        <v>149.63999999999999</v>
      </c>
      <c r="C57" s="1">
        <f t="shared" si="3"/>
        <v>1.4053402931136956E-3</v>
      </c>
      <c r="D57" s="1">
        <f t="shared" si="4"/>
        <v>2.1279278815231269E-6</v>
      </c>
      <c r="E57" s="1">
        <v>43</v>
      </c>
      <c r="F57" s="1">
        <f t="shared" si="0"/>
        <v>1.4053402931136956E-3</v>
      </c>
      <c r="G57" s="1">
        <f t="shared" si="1"/>
        <v>2.1279278815231269E-6</v>
      </c>
      <c r="O57" s="10">
        <v>45936</v>
      </c>
      <c r="P57" s="11">
        <v>617.4</v>
      </c>
      <c r="Q57" s="1">
        <f t="shared" si="2"/>
        <v>3.5760728218464429E-3</v>
      </c>
    </row>
    <row r="58" spans="1:17" ht="19" x14ac:dyDescent="0.25">
      <c r="A58" s="5">
        <v>45936</v>
      </c>
      <c r="B58" s="1">
        <v>147.69</v>
      </c>
      <c r="C58" s="1">
        <f t="shared" si="3"/>
        <v>-1.3031275060144272E-2</v>
      </c>
      <c r="D58" s="1">
        <f t="shared" si="4"/>
        <v>1.6842519980731443E-4</v>
      </c>
      <c r="E58" s="1">
        <v>44</v>
      </c>
      <c r="F58" s="1">
        <f t="shared" si="0"/>
        <v>-1.3031275060144272E-2</v>
      </c>
      <c r="G58" s="1">
        <f t="shared" si="1"/>
        <v>1.6842519980731443E-4</v>
      </c>
      <c r="O58" s="10">
        <v>45933</v>
      </c>
      <c r="P58" s="11">
        <v>615.29999999999995</v>
      </c>
      <c r="Q58" s="1">
        <f t="shared" si="2"/>
        <v>-3.4013605442177242E-3</v>
      </c>
    </row>
    <row r="59" spans="1:17" ht="19" x14ac:dyDescent="0.25">
      <c r="A59" s="5">
        <v>45933</v>
      </c>
      <c r="B59" s="1">
        <v>146.26</v>
      </c>
      <c r="C59" s="1">
        <f t="shared" si="3"/>
        <v>-9.6824429548378818E-3</v>
      </c>
      <c r="D59" s="1">
        <f t="shared" si="4"/>
        <v>9.2718437605936977E-5</v>
      </c>
      <c r="E59" s="1">
        <v>45</v>
      </c>
      <c r="F59" s="1">
        <f t="shared" si="0"/>
        <v>-9.6824429548378818E-3</v>
      </c>
      <c r="G59" s="1">
        <f t="shared" si="1"/>
        <v>9.2718437605936977E-5</v>
      </c>
      <c r="O59" s="10">
        <v>45932</v>
      </c>
      <c r="P59" s="11">
        <v>615.25</v>
      </c>
      <c r="Q59" s="1">
        <f t="shared" si="2"/>
        <v>-8.1261173411270159E-5</v>
      </c>
    </row>
    <row r="60" spans="1:17" ht="19" x14ac:dyDescent="0.25">
      <c r="A60" s="5">
        <v>45932</v>
      </c>
      <c r="B60" s="1">
        <v>146.31</v>
      </c>
      <c r="C60" s="1">
        <f t="shared" si="3"/>
        <v>3.4185696704506612E-4</v>
      </c>
      <c r="D60" s="1">
        <f t="shared" si="4"/>
        <v>1.5622932691004178E-7</v>
      </c>
      <c r="E60" s="1">
        <v>46</v>
      </c>
      <c r="F60" s="1">
        <f t="shared" si="0"/>
        <v>3.4185696704506612E-4</v>
      </c>
      <c r="G60" s="1">
        <f t="shared" si="1"/>
        <v>1.5622932691004178E-7</v>
      </c>
      <c r="O60" s="10">
        <v>45931</v>
      </c>
      <c r="P60" s="11">
        <v>614.57000000000005</v>
      </c>
      <c r="Q60" s="1">
        <f t="shared" si="2"/>
        <v>-1.1052417716374645E-3</v>
      </c>
    </row>
    <row r="61" spans="1:17" ht="19" x14ac:dyDescent="0.25">
      <c r="A61" s="5">
        <v>45931</v>
      </c>
      <c r="B61" s="1">
        <v>146.29</v>
      </c>
      <c r="C61" s="1">
        <f t="shared" si="3"/>
        <v>-1.3669605631884513E-4</v>
      </c>
      <c r="D61" s="1">
        <f t="shared" si="4"/>
        <v>6.9379681208808515E-9</v>
      </c>
      <c r="E61" s="1">
        <v>47</v>
      </c>
      <c r="F61" s="1">
        <f t="shared" si="0"/>
        <v>-1.3669605631884513E-4</v>
      </c>
      <c r="G61" s="1">
        <f t="shared" si="1"/>
        <v>6.9379681208808515E-9</v>
      </c>
      <c r="O61" s="10">
        <v>45930</v>
      </c>
      <c r="P61" s="11">
        <v>612.38</v>
      </c>
      <c r="Q61" s="1">
        <f t="shared" si="2"/>
        <v>-3.5634671396261685E-3</v>
      </c>
    </row>
    <row r="62" spans="1:17" ht="19" x14ac:dyDescent="0.25">
      <c r="A62" s="5">
        <v>45930</v>
      </c>
      <c r="B62" s="1">
        <v>148.93</v>
      </c>
      <c r="C62" s="1">
        <f t="shared" si="3"/>
        <v>1.8046346298448389E-2</v>
      </c>
      <c r="D62" s="1">
        <f t="shared" si="4"/>
        <v>3.2760087362505738E-4</v>
      </c>
      <c r="E62" s="1">
        <v>48</v>
      </c>
      <c r="F62" s="1">
        <f t="shared" si="0"/>
        <v>1.8046346298448389E-2</v>
      </c>
      <c r="G62" s="1">
        <f t="shared" si="1"/>
        <v>3.2760087362505738E-4</v>
      </c>
      <c r="O62" s="10">
        <v>45929</v>
      </c>
      <c r="P62" s="11">
        <v>610.13</v>
      </c>
      <c r="Q62" s="1">
        <f t="shared" si="2"/>
        <v>-3.6741892289101539E-3</v>
      </c>
    </row>
    <row r="63" spans="1:17" ht="19" x14ac:dyDescent="0.25">
      <c r="A63" s="5">
        <v>45929</v>
      </c>
      <c r="B63" s="1">
        <v>151.16999999999999</v>
      </c>
      <c r="C63" s="1">
        <f t="shared" si="3"/>
        <v>1.5040623111528775E-2</v>
      </c>
      <c r="D63" s="1">
        <f t="shared" si="4"/>
        <v>2.2782958169008182E-4</v>
      </c>
      <c r="E63" s="1">
        <v>49</v>
      </c>
      <c r="F63" s="1">
        <f t="shared" si="0"/>
        <v>1.5040623111528775E-2</v>
      </c>
      <c r="G63" s="1">
        <f t="shared" si="1"/>
        <v>2.2782958169008182E-4</v>
      </c>
      <c r="O63" s="10">
        <v>45926</v>
      </c>
      <c r="P63" s="11">
        <v>608.41999999999996</v>
      </c>
      <c r="Q63" s="1">
        <f t="shared" si="2"/>
        <v>-2.8026813957681748E-3</v>
      </c>
    </row>
    <row r="64" spans="1:17" ht="19" x14ac:dyDescent="0.25">
      <c r="A64" s="5">
        <v>45926</v>
      </c>
      <c r="B64" s="1">
        <v>149.38</v>
      </c>
      <c r="C64" s="1">
        <f t="shared" si="3"/>
        <v>-1.1840973738175511E-2</v>
      </c>
      <c r="D64" s="1">
        <f t="shared" si="4"/>
        <v>1.3894685714866095E-4</v>
      </c>
      <c r="E64" s="1">
        <v>50</v>
      </c>
      <c r="F64" s="1">
        <f t="shared" si="0"/>
        <v>-1.1840973738175511E-2</v>
      </c>
      <c r="G64" s="1">
        <f t="shared" si="1"/>
        <v>1.3894685714866095E-4</v>
      </c>
      <c r="O64" s="10">
        <v>45925</v>
      </c>
      <c r="P64" s="11">
        <v>604.86</v>
      </c>
      <c r="Q64" s="1">
        <f t="shared" si="2"/>
        <v>-5.8512211958843324E-3</v>
      </c>
    </row>
    <row r="65" spans="1:17" ht="19" x14ac:dyDescent="0.25">
      <c r="A65" s="5">
        <v>45925</v>
      </c>
      <c r="B65" s="1">
        <v>148.44999999999999</v>
      </c>
      <c r="C65" s="1">
        <f t="shared" si="3"/>
        <v>-6.225733029856787E-3</v>
      </c>
      <c r="D65" s="1">
        <f t="shared" si="4"/>
        <v>3.809767540355864E-5</v>
      </c>
      <c r="E65" s="1">
        <v>51</v>
      </c>
      <c r="F65" s="1">
        <f t="shared" si="0"/>
        <v>-6.225733029856787E-3</v>
      </c>
      <c r="G65" s="1">
        <f t="shared" si="1"/>
        <v>3.809767540355864E-5</v>
      </c>
      <c r="O65" s="10">
        <v>45924</v>
      </c>
      <c r="P65" s="11">
        <v>607.76</v>
      </c>
      <c r="Q65" s="1">
        <f t="shared" si="2"/>
        <v>4.7944979003405374E-3</v>
      </c>
    </row>
    <row r="66" spans="1:17" ht="19" x14ac:dyDescent="0.25">
      <c r="A66" s="5">
        <v>45924</v>
      </c>
      <c r="B66" s="1">
        <v>151.5</v>
      </c>
      <c r="C66" s="1">
        <f t="shared" si="3"/>
        <v>2.0545638262041168E-2</v>
      </c>
      <c r="D66" s="1">
        <f t="shared" si="4"/>
        <v>4.2432044282559954E-4</v>
      </c>
      <c r="E66" s="1">
        <v>52</v>
      </c>
      <c r="F66" s="1">
        <f t="shared" si="0"/>
        <v>2.0545638262041168E-2</v>
      </c>
      <c r="G66" s="1">
        <f t="shared" si="1"/>
        <v>4.2432044282559954E-4</v>
      </c>
      <c r="O66" s="10">
        <v>45923</v>
      </c>
      <c r="P66" s="11">
        <v>609.79999999999995</v>
      </c>
      <c r="Q66" s="1">
        <f t="shared" si="2"/>
        <v>3.3565881268921346E-3</v>
      </c>
    </row>
    <row r="67" spans="1:17" ht="19" x14ac:dyDescent="0.25">
      <c r="A67" s="5">
        <v>45923</v>
      </c>
      <c r="B67" s="1">
        <v>150.02000000000001</v>
      </c>
      <c r="C67" s="1">
        <f t="shared" si="3"/>
        <v>-9.7689768976897007E-3</v>
      </c>
      <c r="D67" s="1">
        <f t="shared" si="4"/>
        <v>9.4392403559569415E-5</v>
      </c>
      <c r="E67" s="1">
        <v>53</v>
      </c>
      <c r="F67" s="1">
        <f t="shared" si="0"/>
        <v>-9.7689768976897007E-3</v>
      </c>
      <c r="G67" s="1">
        <f t="shared" si="1"/>
        <v>9.4392403559569415E-5</v>
      </c>
      <c r="O67" s="10">
        <v>45922</v>
      </c>
      <c r="P67" s="11">
        <v>613.01</v>
      </c>
      <c r="Q67" s="1">
        <f t="shared" si="2"/>
        <v>5.2640209904887452E-3</v>
      </c>
    </row>
    <row r="68" spans="1:17" ht="19" x14ac:dyDescent="0.25">
      <c r="A68" s="5">
        <v>45922</v>
      </c>
      <c r="B68" s="1">
        <v>151.44999999999999</v>
      </c>
      <c r="C68" s="1">
        <f t="shared" si="3"/>
        <v>9.5320623916809646E-3</v>
      </c>
      <c r="D68" s="1">
        <f t="shared" si="4"/>
        <v>9.1881119743925899E-5</v>
      </c>
      <c r="E68" s="1">
        <v>54</v>
      </c>
      <c r="F68" s="1">
        <f t="shared" si="0"/>
        <v>9.5320623916809646E-3</v>
      </c>
      <c r="G68" s="1">
        <f t="shared" si="1"/>
        <v>9.1881119743925899E-5</v>
      </c>
      <c r="O68" s="10">
        <v>45919</v>
      </c>
      <c r="P68" s="11">
        <v>610.04</v>
      </c>
      <c r="Q68" s="1">
        <f t="shared" si="2"/>
        <v>-4.8449454331903679E-3</v>
      </c>
    </row>
    <row r="69" spans="1:17" ht="19" x14ac:dyDescent="0.25">
      <c r="A69" s="5">
        <v>45919</v>
      </c>
      <c r="B69" s="1">
        <v>151.97</v>
      </c>
      <c r="C69" s="1">
        <f t="shared" si="3"/>
        <v>3.4334763948498533E-3</v>
      </c>
      <c r="D69" s="1">
        <f t="shared" si="4"/>
        <v>1.2158318081166122E-5</v>
      </c>
      <c r="E69" s="1">
        <v>55</v>
      </c>
      <c r="F69" s="1">
        <f t="shared" si="0"/>
        <v>3.4334763948498533E-3</v>
      </c>
      <c r="G69" s="1">
        <f t="shared" si="1"/>
        <v>1.2158318081166122E-5</v>
      </c>
      <c r="O69" s="10">
        <v>45918</v>
      </c>
      <c r="P69" s="11">
        <v>607.20000000000005</v>
      </c>
      <c r="Q69" s="1">
        <f t="shared" si="2"/>
        <v>-4.6554324306601509E-3</v>
      </c>
    </row>
    <row r="70" spans="1:17" ht="19" x14ac:dyDescent="0.25">
      <c r="A70" s="5">
        <v>45918</v>
      </c>
      <c r="B70" s="1">
        <v>154.47</v>
      </c>
      <c r="C70" s="1">
        <f t="shared" si="3"/>
        <v>1.6450615253010462E-2</v>
      </c>
      <c r="D70" s="1">
        <f t="shared" si="4"/>
        <v>2.7238257195406798E-4</v>
      </c>
      <c r="E70" s="1">
        <v>56</v>
      </c>
      <c r="F70" s="1">
        <f t="shared" si="0"/>
        <v>1.6450615253010462E-2</v>
      </c>
      <c r="G70" s="1">
        <f t="shared" si="1"/>
        <v>2.7238257195406798E-4</v>
      </c>
      <c r="O70" s="10">
        <v>45917</v>
      </c>
      <c r="P70" s="11">
        <v>604.36</v>
      </c>
      <c r="Q70" s="1">
        <f t="shared" si="2"/>
        <v>-4.6772068511199468E-3</v>
      </c>
    </row>
    <row r="71" spans="1:17" ht="19" x14ac:dyDescent="0.25">
      <c r="A71" s="5">
        <v>45917</v>
      </c>
      <c r="B71" s="1">
        <v>159.78</v>
      </c>
      <c r="C71" s="1">
        <f t="shared" si="3"/>
        <v>3.4375606913963894E-2</v>
      </c>
      <c r="D71" s="1">
        <f t="shared" si="4"/>
        <v>1.1853566265653819E-3</v>
      </c>
      <c r="E71" s="1">
        <v>57</v>
      </c>
      <c r="F71" s="1">
        <f t="shared" si="0"/>
        <v>3.4375606913963894E-2</v>
      </c>
      <c r="G71" s="1">
        <f t="shared" si="1"/>
        <v>1.1853566265653819E-3</v>
      </c>
      <c r="O71" s="10">
        <v>45916</v>
      </c>
      <c r="P71" s="11">
        <v>605.05999999999995</v>
      </c>
      <c r="Q71" s="1">
        <f t="shared" si="2"/>
        <v>1.1582500496391749E-3</v>
      </c>
    </row>
    <row r="72" spans="1:17" ht="19" x14ac:dyDescent="0.25">
      <c r="A72" s="5">
        <v>45916</v>
      </c>
      <c r="B72" s="1">
        <v>159.07</v>
      </c>
      <c r="C72" s="1">
        <f t="shared" si="3"/>
        <v>-4.4436099637001373E-3</v>
      </c>
      <c r="D72" s="1">
        <f t="shared" si="4"/>
        <v>1.9273929564587952E-5</v>
      </c>
      <c r="E72" s="1">
        <v>58</v>
      </c>
      <c r="F72" s="1">
        <f t="shared" si="0"/>
        <v>-4.4436099637001373E-3</v>
      </c>
      <c r="G72" s="1">
        <f t="shared" si="1"/>
        <v>1.9273929564587952E-5</v>
      </c>
      <c r="O72" s="10">
        <v>45915</v>
      </c>
      <c r="P72" s="11">
        <v>605.86</v>
      </c>
      <c r="Q72" s="1">
        <f t="shared" si="2"/>
        <v>1.3221829240076493E-3</v>
      </c>
    </row>
    <row r="73" spans="1:17" ht="19" x14ac:dyDescent="0.25">
      <c r="A73" s="5">
        <v>45915</v>
      </c>
      <c r="B73" s="1">
        <v>158.43</v>
      </c>
      <c r="C73" s="1">
        <f t="shared" si="3"/>
        <v>-4.023385930722238E-3</v>
      </c>
      <c r="D73" s="1">
        <f t="shared" si="4"/>
        <v>1.5760775665653162E-5</v>
      </c>
      <c r="E73" s="1">
        <v>59</v>
      </c>
      <c r="F73" s="1">
        <f t="shared" si="0"/>
        <v>-4.023385930722238E-3</v>
      </c>
      <c r="G73" s="1">
        <f t="shared" si="1"/>
        <v>1.5760775665653162E-5</v>
      </c>
      <c r="O73" s="10">
        <v>45912</v>
      </c>
      <c r="P73" s="11">
        <v>602.72</v>
      </c>
      <c r="Q73" s="1">
        <f t="shared" si="2"/>
        <v>-5.1827154788234679E-3</v>
      </c>
    </row>
    <row r="74" spans="1:17" ht="19" x14ac:dyDescent="0.25">
      <c r="A74" s="5">
        <v>45912</v>
      </c>
      <c r="B74" s="1">
        <v>160.12</v>
      </c>
      <c r="C74" s="1">
        <f t="shared" si="3"/>
        <v>1.066717162153631E-2</v>
      </c>
      <c r="D74" s="1">
        <f t="shared" si="4"/>
        <v>1.1493068998371178E-4</v>
      </c>
      <c r="E74" s="1">
        <v>60</v>
      </c>
      <c r="F74" s="1">
        <f t="shared" si="0"/>
        <v>1.066717162153631E-2</v>
      </c>
      <c r="G74" s="1">
        <f t="shared" si="1"/>
        <v>1.1493068998371178E-4</v>
      </c>
      <c r="O74" s="10">
        <v>45911</v>
      </c>
      <c r="P74" s="11">
        <v>602.85</v>
      </c>
      <c r="Q74" s="1">
        <f t="shared" si="2"/>
        <v>2.1568887709051541E-4</v>
      </c>
    </row>
    <row r="75" spans="1:17" ht="19" x14ac:dyDescent="0.25">
      <c r="A75" s="5">
        <v>45911</v>
      </c>
      <c r="B75" s="1">
        <v>161.41999999999999</v>
      </c>
      <c r="C75" s="1">
        <f t="shared" si="3"/>
        <v>8.118910816887228E-3</v>
      </c>
      <c r="D75" s="1">
        <f t="shared" si="4"/>
        <v>6.6786690075611854E-5</v>
      </c>
      <c r="E75" s="1">
        <v>61</v>
      </c>
      <c r="F75" s="1">
        <f t="shared" si="0"/>
        <v>8.118910816887228E-3</v>
      </c>
      <c r="G75" s="1">
        <f t="shared" si="1"/>
        <v>6.6786690075611854E-5</v>
      </c>
      <c r="O75" s="10">
        <v>45910</v>
      </c>
      <c r="P75" s="11">
        <v>597.97</v>
      </c>
      <c r="Q75" s="1">
        <f t="shared" si="2"/>
        <v>-8.0948826407895753E-3</v>
      </c>
    </row>
    <row r="76" spans="1:17" ht="19" x14ac:dyDescent="0.25">
      <c r="A76" s="5">
        <v>45910</v>
      </c>
      <c r="B76" s="1">
        <v>159.1</v>
      </c>
      <c r="C76" s="1">
        <f t="shared" si="3"/>
        <v>-1.4372444554578078E-2</v>
      </c>
      <c r="D76" s="1">
        <f t="shared" si="4"/>
        <v>2.0503499142169763E-4</v>
      </c>
      <c r="E76" s="1">
        <v>62</v>
      </c>
      <c r="F76" s="1">
        <f t="shared" si="0"/>
        <v>-1.4372444554578078E-2</v>
      </c>
      <c r="G76" s="1">
        <f t="shared" si="1"/>
        <v>2.0503499142169763E-4</v>
      </c>
      <c r="O76" s="10">
        <v>45909</v>
      </c>
      <c r="P76" s="11">
        <v>596.24</v>
      </c>
      <c r="Q76" s="1">
        <f t="shared" si="2"/>
        <v>-2.8931217285148385E-3</v>
      </c>
    </row>
    <row r="77" spans="1:17" ht="19" x14ac:dyDescent="0.25">
      <c r="A77" s="5">
        <v>45909</v>
      </c>
      <c r="B77" s="1">
        <v>162.75</v>
      </c>
      <c r="C77" s="1">
        <f t="shared" si="3"/>
        <v>2.2941546197360187E-2</v>
      </c>
      <c r="D77" s="1">
        <f t="shared" si="4"/>
        <v>5.2876762374299625E-4</v>
      </c>
      <c r="E77" s="1">
        <v>63</v>
      </c>
      <c r="F77" s="1">
        <f t="shared" si="0"/>
        <v>2.2941546197360187E-2</v>
      </c>
      <c r="G77" s="1">
        <f t="shared" si="1"/>
        <v>5.2876762374299625E-4</v>
      </c>
      <c r="O77" s="10">
        <v>45908</v>
      </c>
      <c r="P77" s="11">
        <v>594.79999999999995</v>
      </c>
      <c r="Q77" s="1">
        <f t="shared" si="2"/>
        <v>-2.415134845028939E-3</v>
      </c>
    </row>
    <row r="78" spans="1:17" ht="19" x14ac:dyDescent="0.25">
      <c r="A78" s="5">
        <v>45908</v>
      </c>
      <c r="B78" s="1">
        <v>162.53</v>
      </c>
      <c r="C78" s="1">
        <f t="shared" si="3"/>
        <v>-1.3517665130568287E-3</v>
      </c>
      <c r="D78" s="1">
        <f t="shared" si="4"/>
        <v>1.685751473448364E-6</v>
      </c>
      <c r="E78" s="1">
        <v>64</v>
      </c>
      <c r="F78" s="1">
        <f t="shared" si="0"/>
        <v>-1.3517665130568287E-3</v>
      </c>
      <c r="G78" s="1">
        <f t="shared" si="1"/>
        <v>1.685751473448364E-6</v>
      </c>
      <c r="O78" s="10">
        <v>45905</v>
      </c>
      <c r="P78" s="11">
        <v>593.26</v>
      </c>
      <c r="Q78" s="1">
        <f t="shared" si="2"/>
        <v>-2.5891055817080762E-3</v>
      </c>
    </row>
    <row r="79" spans="1:17" ht="19" x14ac:dyDescent="0.25">
      <c r="A79" s="5">
        <v>45905</v>
      </c>
      <c r="B79" s="1">
        <v>162.24</v>
      </c>
      <c r="C79" s="1">
        <f t="shared" si="3"/>
        <v>-1.7842859779732482E-3</v>
      </c>
      <c r="D79" s="1">
        <f t="shared" si="4"/>
        <v>2.9959607645615203E-6</v>
      </c>
      <c r="E79" s="1">
        <v>65</v>
      </c>
      <c r="F79" s="1">
        <f t="shared" si="0"/>
        <v>-1.7842859779732482E-3</v>
      </c>
      <c r="G79" s="1">
        <f t="shared" si="1"/>
        <v>2.9959607645615203E-6</v>
      </c>
      <c r="O79" s="10">
        <v>45904</v>
      </c>
      <c r="P79" s="11">
        <v>594.89</v>
      </c>
      <c r="Q79" s="1">
        <f t="shared" si="2"/>
        <v>2.7475305936688729E-3</v>
      </c>
    </row>
    <row r="80" spans="1:17" ht="19" x14ac:dyDescent="0.25">
      <c r="A80" s="5">
        <v>45904</v>
      </c>
      <c r="B80" s="1">
        <v>161.87</v>
      </c>
      <c r="C80" s="1">
        <f t="shared" si="3"/>
        <v>-2.2805719921104813E-3</v>
      </c>
      <c r="D80" s="1">
        <f t="shared" si="4"/>
        <v>4.9602880000781306E-6</v>
      </c>
      <c r="E80" s="1">
        <v>66</v>
      </c>
      <c r="F80" s="1">
        <f t="shared" ref="F80:F143" si="5">IF(E80&lt;$B$5,C80,"")</f>
        <v>-2.2805719921104813E-3</v>
      </c>
      <c r="G80" s="1">
        <f t="shared" ref="G80:G143" si="6">IF(E80&lt;=$B$5,D80,"")</f>
        <v>4.9602880000781306E-6</v>
      </c>
      <c r="O80" s="10">
        <v>45903</v>
      </c>
      <c r="P80" s="11">
        <v>590.03</v>
      </c>
      <c r="Q80" s="1">
        <f t="shared" ref="Q80:Q143" si="7">(P80-P79)/P79</f>
        <v>-8.169577568962352E-3</v>
      </c>
    </row>
    <row r="81" spans="1:17" ht="19" x14ac:dyDescent="0.25">
      <c r="A81" s="5">
        <v>45903</v>
      </c>
      <c r="B81" s="1">
        <v>161.59</v>
      </c>
      <c r="C81" s="1">
        <f t="shared" ref="C81:C144" si="8">(B81-B80)/B80</f>
        <v>-1.7297831593253916E-3</v>
      </c>
      <c r="D81" s="1">
        <f t="shared" ref="D81:D144" si="9">(C81-$B$7)^2</f>
        <v>2.8102551660048495E-6</v>
      </c>
      <c r="E81" s="1">
        <v>67</v>
      </c>
      <c r="F81" s="1">
        <f t="shared" si="5"/>
        <v>-1.7297831593253916E-3</v>
      </c>
      <c r="G81" s="1">
        <f t="shared" si="6"/>
        <v>2.8102551660048495E-6</v>
      </c>
      <c r="O81" s="10">
        <v>45902</v>
      </c>
      <c r="P81" s="11">
        <v>587.03</v>
      </c>
      <c r="Q81" s="1">
        <f t="shared" si="7"/>
        <v>-5.0844872294629091E-3</v>
      </c>
    </row>
    <row r="82" spans="1:17" ht="19" x14ac:dyDescent="0.25">
      <c r="A82" s="5">
        <v>45902</v>
      </c>
      <c r="B82" s="1">
        <v>160.77000000000001</v>
      </c>
      <c r="C82" s="1">
        <f t="shared" si="8"/>
        <v>-5.0745714462528202E-3</v>
      </c>
      <c r="D82" s="1">
        <f t="shared" si="9"/>
        <v>2.5212146725434776E-5</v>
      </c>
      <c r="E82" s="1">
        <v>68</v>
      </c>
      <c r="F82" s="1">
        <f t="shared" si="5"/>
        <v>-5.0745714462528202E-3</v>
      </c>
      <c r="G82" s="1">
        <f t="shared" si="6"/>
        <v>2.5212146725434776E-5</v>
      </c>
      <c r="O82" s="10">
        <v>45898</v>
      </c>
      <c r="P82" s="11">
        <v>591.39</v>
      </c>
      <c r="Q82" s="1">
        <f t="shared" si="7"/>
        <v>7.4272183704410574E-3</v>
      </c>
    </row>
    <row r="83" spans="1:17" ht="19" x14ac:dyDescent="0.25">
      <c r="A83" s="5">
        <v>45898</v>
      </c>
      <c r="B83" s="1">
        <v>163.26</v>
      </c>
      <c r="C83" s="1">
        <f t="shared" si="8"/>
        <v>1.5487964172420106E-2</v>
      </c>
      <c r="D83" s="1">
        <f t="shared" si="9"/>
        <v>2.4153404976103658E-4</v>
      </c>
      <c r="E83" s="1">
        <v>69</v>
      </c>
      <c r="F83" s="1">
        <f t="shared" si="5"/>
        <v>1.5487964172420106E-2</v>
      </c>
      <c r="G83" s="1">
        <f t="shared" si="6"/>
        <v>2.4153404976103658E-4</v>
      </c>
      <c r="O83" s="10">
        <v>45897</v>
      </c>
      <c r="P83" s="11">
        <v>594.82000000000005</v>
      </c>
      <c r="Q83" s="1">
        <f t="shared" si="7"/>
        <v>5.7998951622449885E-3</v>
      </c>
    </row>
    <row r="84" spans="1:17" ht="19" x14ac:dyDescent="0.25">
      <c r="A84" s="5">
        <v>45897</v>
      </c>
      <c r="B84" s="1">
        <v>162.82</v>
      </c>
      <c r="C84" s="1">
        <f t="shared" si="8"/>
        <v>-2.6950875903466727E-3</v>
      </c>
      <c r="D84" s="1">
        <f t="shared" si="9"/>
        <v>6.9785049244764305E-6</v>
      </c>
      <c r="E84" s="1">
        <v>70</v>
      </c>
      <c r="F84" s="1">
        <f t="shared" si="5"/>
        <v>-2.6950875903466727E-3</v>
      </c>
      <c r="G84" s="1">
        <f t="shared" si="6"/>
        <v>6.9785049244764305E-6</v>
      </c>
      <c r="O84" s="10">
        <v>45896</v>
      </c>
      <c r="P84" s="11">
        <v>592.72</v>
      </c>
      <c r="Q84" s="1">
        <f t="shared" si="7"/>
        <v>-3.5304798090178922E-3</v>
      </c>
    </row>
    <row r="85" spans="1:17" ht="19" x14ac:dyDescent="0.25">
      <c r="A85" s="5">
        <v>45896</v>
      </c>
      <c r="B85" s="1">
        <v>162.74</v>
      </c>
      <c r="C85" s="1">
        <f t="shared" si="8"/>
        <v>-4.913401302050368E-4</v>
      </c>
      <c r="D85" s="1">
        <f t="shared" si="9"/>
        <v>1.9179016500501355E-7</v>
      </c>
      <c r="E85" s="1">
        <v>71</v>
      </c>
      <c r="F85" s="1">
        <f t="shared" si="5"/>
        <v>-4.913401302050368E-4</v>
      </c>
      <c r="G85" s="1">
        <f t="shared" si="6"/>
        <v>1.9179016500501355E-7</v>
      </c>
      <c r="O85" s="10">
        <v>45895</v>
      </c>
      <c r="P85" s="11">
        <v>591.37</v>
      </c>
      <c r="Q85" s="1">
        <f t="shared" si="7"/>
        <v>-2.2776353084087305E-3</v>
      </c>
    </row>
    <row r="86" spans="1:17" ht="19" x14ac:dyDescent="0.25">
      <c r="A86" s="5">
        <v>45895</v>
      </c>
      <c r="B86" s="1">
        <v>162.08000000000001</v>
      </c>
      <c r="C86" s="1">
        <f t="shared" si="8"/>
        <v>-4.0555487280324234E-3</v>
      </c>
      <c r="D86" s="1">
        <f t="shared" si="9"/>
        <v>1.6017181714535091E-5</v>
      </c>
      <c r="E86" s="1">
        <v>72</v>
      </c>
      <c r="F86" s="1">
        <f t="shared" si="5"/>
        <v>-4.0555487280324234E-3</v>
      </c>
      <c r="G86" s="1">
        <f t="shared" si="6"/>
        <v>1.6017181714535091E-5</v>
      </c>
      <c r="O86" s="10">
        <v>45894</v>
      </c>
      <c r="P86" s="11">
        <v>589.02</v>
      </c>
      <c r="Q86" s="1">
        <f t="shared" si="7"/>
        <v>-3.9738234945973297E-3</v>
      </c>
    </row>
    <row r="87" spans="1:17" ht="19" x14ac:dyDescent="0.25">
      <c r="A87" s="5">
        <v>45894</v>
      </c>
      <c r="B87" s="1">
        <v>161.68</v>
      </c>
      <c r="C87" s="1">
        <f t="shared" si="8"/>
        <v>-2.4679170779862147E-3</v>
      </c>
      <c r="D87" s="1">
        <f t="shared" si="9"/>
        <v>5.8298850417699395E-6</v>
      </c>
      <c r="E87" s="1">
        <v>73</v>
      </c>
      <c r="F87" s="1">
        <f t="shared" si="5"/>
        <v>-2.4679170779862147E-3</v>
      </c>
      <c r="G87" s="1">
        <f t="shared" si="6"/>
        <v>5.8298850417699395E-6</v>
      </c>
      <c r="O87" s="10">
        <v>45891</v>
      </c>
      <c r="P87" s="11">
        <v>591.52</v>
      </c>
      <c r="Q87" s="1">
        <f t="shared" si="7"/>
        <v>4.2443380530372485E-3</v>
      </c>
    </row>
    <row r="88" spans="1:17" ht="19" x14ac:dyDescent="0.25">
      <c r="A88" s="5">
        <v>45891</v>
      </c>
      <c r="B88" s="1">
        <v>165.56</v>
      </c>
      <c r="C88" s="1">
        <f t="shared" si="8"/>
        <v>2.3998020781791165E-2</v>
      </c>
      <c r="D88" s="1">
        <f t="shared" si="9"/>
        <v>5.7847091810585207E-4</v>
      </c>
      <c r="E88" s="1">
        <v>74</v>
      </c>
      <c r="F88" s="1">
        <f t="shared" si="5"/>
        <v>2.3998020781791165E-2</v>
      </c>
      <c r="G88" s="1">
        <f t="shared" si="6"/>
        <v>5.7847091810585207E-4</v>
      </c>
      <c r="O88" s="10">
        <v>45890</v>
      </c>
      <c r="P88" s="11">
        <v>582.6</v>
      </c>
      <c r="Q88" s="1">
        <f t="shared" si="7"/>
        <v>-1.5079794427914456E-2</v>
      </c>
    </row>
    <row r="89" spans="1:17" ht="19" x14ac:dyDescent="0.25">
      <c r="A89" s="5">
        <v>45890</v>
      </c>
      <c r="B89" s="1">
        <v>163.26</v>
      </c>
      <c r="C89" s="1">
        <f t="shared" si="8"/>
        <v>-1.3892244503503331E-2</v>
      </c>
      <c r="D89" s="1">
        <f t="shared" si="9"/>
        <v>1.9151357318487717E-4</v>
      </c>
      <c r="E89" s="1">
        <v>75</v>
      </c>
      <c r="F89" s="1">
        <f t="shared" si="5"/>
        <v>-1.3892244503503331E-2</v>
      </c>
      <c r="G89" s="1">
        <f t="shared" si="6"/>
        <v>1.9151357318487717E-4</v>
      </c>
      <c r="O89" s="10">
        <v>45889</v>
      </c>
      <c r="P89" s="11">
        <v>584.91</v>
      </c>
      <c r="Q89" s="1">
        <f t="shared" si="7"/>
        <v>3.9649845520081453E-3</v>
      </c>
    </row>
    <row r="90" spans="1:17" ht="19" x14ac:dyDescent="0.25">
      <c r="A90" s="5">
        <v>45889</v>
      </c>
      <c r="B90" s="1">
        <v>163.80000000000001</v>
      </c>
      <c r="C90" s="1">
        <f t="shared" si="8"/>
        <v>3.3076074972437858E-3</v>
      </c>
      <c r="D90" s="1">
        <f t="shared" si="9"/>
        <v>1.1296382084473181E-5</v>
      </c>
      <c r="E90" s="1">
        <v>76</v>
      </c>
      <c r="F90" s="1">
        <f t="shared" si="5"/>
        <v>3.3076074972437858E-3</v>
      </c>
      <c r="G90" s="1">
        <f t="shared" si="6"/>
        <v>1.1296382084473181E-5</v>
      </c>
      <c r="O90" s="10">
        <v>45888</v>
      </c>
      <c r="P90" s="11">
        <v>586.45000000000005</v>
      </c>
      <c r="Q90" s="1">
        <f t="shared" si="7"/>
        <v>2.6328836915082278E-3</v>
      </c>
    </row>
    <row r="91" spans="1:17" ht="19" x14ac:dyDescent="0.25">
      <c r="A91" s="5">
        <v>45888</v>
      </c>
      <c r="B91" s="1">
        <v>160.63</v>
      </c>
      <c r="C91" s="1">
        <f t="shared" si="8"/>
        <v>-1.9352869352869447E-2</v>
      </c>
      <c r="D91" s="1">
        <f t="shared" si="9"/>
        <v>3.724694559303937E-4</v>
      </c>
      <c r="E91" s="1">
        <v>77</v>
      </c>
      <c r="F91" s="1">
        <f t="shared" si="5"/>
        <v>-1.9352869352869447E-2</v>
      </c>
      <c r="G91" s="1">
        <f t="shared" si="6"/>
        <v>3.724694559303937E-4</v>
      </c>
      <c r="O91" s="10">
        <v>45887</v>
      </c>
      <c r="P91" s="11">
        <v>589.66999999999996</v>
      </c>
      <c r="Q91" s="1">
        <f t="shared" si="7"/>
        <v>5.4906641657428822E-3</v>
      </c>
    </row>
    <row r="92" spans="1:17" ht="19" x14ac:dyDescent="0.25">
      <c r="A92" s="5">
        <v>45887</v>
      </c>
      <c r="B92" s="1">
        <v>160.83000000000001</v>
      </c>
      <c r="C92" s="1">
        <f t="shared" si="8"/>
        <v>1.2450974288739157E-3</v>
      </c>
      <c r="D92" s="1">
        <f t="shared" si="9"/>
        <v>1.6860997019925199E-6</v>
      </c>
      <c r="E92" s="1">
        <v>78</v>
      </c>
      <c r="F92" s="1">
        <f t="shared" si="5"/>
        <v>1.2450974288739157E-3</v>
      </c>
      <c r="G92" s="1">
        <f t="shared" si="6"/>
        <v>1.6860997019925199E-6</v>
      </c>
      <c r="O92" s="10">
        <v>45884</v>
      </c>
      <c r="P92" s="11">
        <v>589.88</v>
      </c>
      <c r="Q92" s="1">
        <f t="shared" si="7"/>
        <v>3.5613139552637303E-4</v>
      </c>
    </row>
    <row r="93" spans="1:17" ht="19" x14ac:dyDescent="0.25">
      <c r="A93" s="5">
        <v>45884</v>
      </c>
      <c r="B93" s="1">
        <v>160.38999999999999</v>
      </c>
      <c r="C93" s="1">
        <f t="shared" si="8"/>
        <v>-2.7358079960208052E-3</v>
      </c>
      <c r="D93" s="1">
        <f t="shared" si="9"/>
        <v>7.1953041271110348E-6</v>
      </c>
      <c r="E93" s="1">
        <v>79</v>
      </c>
      <c r="F93" s="1">
        <f t="shared" si="5"/>
        <v>-2.7358079960208052E-3</v>
      </c>
      <c r="G93" s="1">
        <f t="shared" si="6"/>
        <v>7.1953041271110348E-6</v>
      </c>
      <c r="O93" s="10">
        <v>45883</v>
      </c>
      <c r="P93" s="11">
        <v>591.16</v>
      </c>
      <c r="Q93" s="1">
        <f t="shared" si="7"/>
        <v>2.1699328677018594E-3</v>
      </c>
    </row>
    <row r="94" spans="1:17" ht="19" x14ac:dyDescent="0.25">
      <c r="A94" s="5">
        <v>45883</v>
      </c>
      <c r="B94" s="1">
        <v>159.25</v>
      </c>
      <c r="C94" s="1">
        <f t="shared" si="8"/>
        <v>-7.1076750420848338E-3</v>
      </c>
      <c r="D94" s="1">
        <f t="shared" si="9"/>
        <v>4.9762773936919267E-5</v>
      </c>
      <c r="E94" s="1">
        <v>80</v>
      </c>
      <c r="F94" s="1">
        <f t="shared" si="5"/>
        <v>-7.1076750420848338E-3</v>
      </c>
      <c r="G94" s="1">
        <f t="shared" si="6"/>
        <v>4.9762773936919267E-5</v>
      </c>
      <c r="O94" s="10">
        <v>45882</v>
      </c>
      <c r="P94" s="11">
        <v>591.15</v>
      </c>
      <c r="Q94" s="1">
        <f t="shared" si="7"/>
        <v>-1.6915894174150664E-5</v>
      </c>
    </row>
    <row r="95" spans="1:17" ht="19" x14ac:dyDescent="0.25">
      <c r="A95" s="5">
        <v>45882</v>
      </c>
      <c r="B95" s="1">
        <v>163.37</v>
      </c>
      <c r="C95" s="1">
        <f t="shared" si="8"/>
        <v>2.587127158555733E-2</v>
      </c>
      <c r="D95" s="1">
        <f t="shared" si="9"/>
        <v>6.7208867925898266E-4</v>
      </c>
      <c r="E95" s="1">
        <v>81</v>
      </c>
      <c r="F95" s="1">
        <f t="shared" si="5"/>
        <v>2.587127158555733E-2</v>
      </c>
      <c r="G95" s="1">
        <f t="shared" si="6"/>
        <v>6.7208867925898266E-4</v>
      </c>
      <c r="O95" s="10">
        <v>45881</v>
      </c>
      <c r="P95" s="11">
        <v>589.1</v>
      </c>
      <c r="Q95" s="1">
        <f t="shared" si="7"/>
        <v>-3.4678169669287908E-3</v>
      </c>
    </row>
    <row r="96" spans="1:17" ht="19" x14ac:dyDescent="0.25">
      <c r="A96" s="5">
        <v>45881</v>
      </c>
      <c r="B96" s="1">
        <v>159.79</v>
      </c>
      <c r="C96" s="1">
        <f t="shared" si="8"/>
        <v>-2.1913448001469132E-2</v>
      </c>
      <c r="D96" s="1">
        <f t="shared" si="9"/>
        <v>4.7786162911198852E-4</v>
      </c>
      <c r="E96" s="1">
        <v>82</v>
      </c>
      <c r="F96" s="1">
        <f t="shared" si="5"/>
        <v>-2.1913448001469132E-2</v>
      </c>
      <c r="G96" s="1">
        <f t="shared" si="6"/>
        <v>4.7786162911198852E-4</v>
      </c>
      <c r="O96" s="10">
        <v>45880</v>
      </c>
      <c r="P96" s="11">
        <v>582.87</v>
      </c>
      <c r="Q96" s="1">
        <f t="shared" si="7"/>
        <v>-1.0575454082498758E-2</v>
      </c>
    </row>
    <row r="97" spans="1:17" ht="19" x14ac:dyDescent="0.25">
      <c r="A97" s="5">
        <v>45880</v>
      </c>
      <c r="B97" s="1">
        <v>158.52000000000001</v>
      </c>
      <c r="C97" s="1">
        <f t="shared" si="8"/>
        <v>-7.9479316603040355E-3</v>
      </c>
      <c r="D97" s="1">
        <f t="shared" si="9"/>
        <v>6.2323605031080567E-5</v>
      </c>
      <c r="E97" s="1">
        <v>83</v>
      </c>
      <c r="F97" s="1">
        <f t="shared" si="5"/>
        <v>-7.9479316603040355E-3</v>
      </c>
      <c r="G97" s="1">
        <f t="shared" si="6"/>
        <v>6.2323605031080567E-5</v>
      </c>
      <c r="O97" s="10">
        <v>45877</v>
      </c>
      <c r="P97" s="11">
        <v>584.07000000000005</v>
      </c>
      <c r="Q97" s="1">
        <f t="shared" si="7"/>
        <v>2.0587781151887134E-3</v>
      </c>
    </row>
    <row r="98" spans="1:17" ht="19" x14ac:dyDescent="0.25">
      <c r="A98" s="5">
        <v>45877</v>
      </c>
      <c r="B98" s="1">
        <v>161.56</v>
      </c>
      <c r="C98" s="1">
        <f t="shared" si="8"/>
        <v>1.9177390865505878E-2</v>
      </c>
      <c r="D98" s="1">
        <f t="shared" si="9"/>
        <v>3.6982337846638635E-4</v>
      </c>
      <c r="E98" s="1">
        <v>84</v>
      </c>
      <c r="F98" s="1">
        <f t="shared" si="5"/>
        <v>1.9177390865505878E-2</v>
      </c>
      <c r="G98" s="1">
        <f t="shared" si="6"/>
        <v>3.6982337846638635E-4</v>
      </c>
      <c r="O98" s="10">
        <v>45876</v>
      </c>
      <c r="P98" s="11">
        <v>579.63</v>
      </c>
      <c r="Q98" s="1">
        <f t="shared" si="7"/>
        <v>-7.6018285479481128E-3</v>
      </c>
    </row>
    <row r="99" spans="1:17" ht="19" x14ac:dyDescent="0.25">
      <c r="A99" s="5">
        <v>45876</v>
      </c>
      <c r="B99" s="1">
        <v>164.09</v>
      </c>
      <c r="C99" s="1">
        <f t="shared" si="8"/>
        <v>1.5659816786333259E-2</v>
      </c>
      <c r="D99" s="1">
        <f t="shared" si="9"/>
        <v>2.4690523174204678E-4</v>
      </c>
      <c r="E99" s="1">
        <v>85</v>
      </c>
      <c r="F99" s="1">
        <f t="shared" si="5"/>
        <v>1.5659816786333259E-2</v>
      </c>
      <c r="G99" s="1">
        <f t="shared" si="6"/>
        <v>2.4690523174204678E-4</v>
      </c>
      <c r="O99" s="10">
        <v>45875</v>
      </c>
      <c r="P99" s="11">
        <v>579.98</v>
      </c>
      <c r="Q99" s="1">
        <f t="shared" si="7"/>
        <v>6.0383347997864626E-4</v>
      </c>
    </row>
    <row r="100" spans="1:17" ht="19" x14ac:dyDescent="0.25">
      <c r="A100" s="5">
        <v>45875</v>
      </c>
      <c r="B100" s="1">
        <v>166.76</v>
      </c>
      <c r="C100" s="1">
        <f t="shared" si="8"/>
        <v>1.6271558291181591E-2</v>
      </c>
      <c r="D100" s="1">
        <f t="shared" si="9"/>
        <v>2.6650431512188674E-4</v>
      </c>
      <c r="E100" s="1">
        <v>86</v>
      </c>
      <c r="F100" s="1">
        <f t="shared" si="5"/>
        <v>1.6271558291181591E-2</v>
      </c>
      <c r="G100" s="1">
        <f t="shared" si="6"/>
        <v>2.6650431512188674E-4</v>
      </c>
      <c r="O100" s="10">
        <v>45874</v>
      </c>
      <c r="P100" s="11">
        <v>575.70000000000005</v>
      </c>
      <c r="Q100" s="1">
        <f t="shared" si="7"/>
        <v>-7.379564812579697E-3</v>
      </c>
    </row>
    <row r="101" spans="1:17" ht="19" x14ac:dyDescent="0.25">
      <c r="A101" s="5">
        <v>45874</v>
      </c>
      <c r="B101" s="1">
        <v>166.01</v>
      </c>
      <c r="C101" s="1">
        <f t="shared" si="8"/>
        <v>-4.4974814104101705E-3</v>
      </c>
      <c r="D101" s="1">
        <f t="shared" si="9"/>
        <v>1.9749845450259033E-5</v>
      </c>
      <c r="E101" s="1">
        <v>87</v>
      </c>
      <c r="F101" s="1">
        <f t="shared" si="5"/>
        <v>-4.4974814104101705E-3</v>
      </c>
      <c r="G101" s="1">
        <f t="shared" si="6"/>
        <v>1.9749845450259033E-5</v>
      </c>
      <c r="O101" s="10">
        <v>45873</v>
      </c>
      <c r="P101" s="11">
        <v>578.49</v>
      </c>
      <c r="Q101" s="1">
        <f t="shared" si="7"/>
        <v>4.8462741010942565E-3</v>
      </c>
    </row>
    <row r="102" spans="1:17" ht="19" x14ac:dyDescent="0.25">
      <c r="A102" s="5">
        <v>45873</v>
      </c>
      <c r="B102" s="1">
        <v>170.48</v>
      </c>
      <c r="C102" s="1">
        <f t="shared" si="8"/>
        <v>2.6926088789831933E-2</v>
      </c>
      <c r="D102" s="1">
        <f t="shared" si="9"/>
        <v>7.2789290115494521E-4</v>
      </c>
      <c r="E102" s="1">
        <v>88</v>
      </c>
      <c r="F102" s="1">
        <f t="shared" si="5"/>
        <v>2.6926088789831933E-2</v>
      </c>
      <c r="G102" s="1">
        <f t="shared" si="6"/>
        <v>7.2789290115494521E-4</v>
      </c>
      <c r="O102" s="10">
        <v>45870</v>
      </c>
      <c r="P102" s="11">
        <v>569.82000000000005</v>
      </c>
      <c r="Q102" s="1">
        <f t="shared" si="7"/>
        <v>-1.4987294508115886E-2</v>
      </c>
    </row>
    <row r="103" spans="1:17" ht="19" x14ac:dyDescent="0.25">
      <c r="A103" s="5">
        <v>45870</v>
      </c>
      <c r="B103" s="1">
        <v>167.28</v>
      </c>
      <c r="C103" s="1">
        <f t="shared" si="8"/>
        <v>-1.877053026747999E-2</v>
      </c>
      <c r="D103" s="1">
        <f t="shared" si="9"/>
        <v>3.5033090592968976E-4</v>
      </c>
      <c r="E103" s="1">
        <v>89</v>
      </c>
      <c r="F103" s="1">
        <f t="shared" si="5"/>
        <v>-1.877053026747999E-2</v>
      </c>
      <c r="G103" s="1">
        <f t="shared" si="6"/>
        <v>3.5033090592968976E-4</v>
      </c>
      <c r="O103" s="10">
        <v>45869</v>
      </c>
      <c r="P103" s="11">
        <v>579.36</v>
      </c>
      <c r="Q103" s="1">
        <f t="shared" si="7"/>
        <v>1.674212909339785E-2</v>
      </c>
    </row>
    <row r="104" spans="1:17" ht="19" x14ac:dyDescent="0.25">
      <c r="A104" s="5">
        <v>45869</v>
      </c>
      <c r="B104" s="1">
        <v>169.82</v>
      </c>
      <c r="C104" s="1">
        <f t="shared" si="8"/>
        <v>1.518412242945954E-2</v>
      </c>
      <c r="D104" s="1">
        <f t="shared" si="9"/>
        <v>2.3218213824332477E-4</v>
      </c>
      <c r="E104" s="1">
        <v>90</v>
      </c>
      <c r="F104" s="1">
        <f t="shared" si="5"/>
        <v>1.518412242945954E-2</v>
      </c>
      <c r="G104" s="1">
        <f t="shared" si="6"/>
        <v>2.3218213824332477E-4</v>
      </c>
      <c r="O104" s="10">
        <v>45868</v>
      </c>
      <c r="P104" s="11">
        <v>581.54999999999995</v>
      </c>
      <c r="Q104" s="1">
        <f t="shared" si="7"/>
        <v>3.780033140016468E-3</v>
      </c>
    </row>
    <row r="105" spans="1:17" ht="19" x14ac:dyDescent="0.25">
      <c r="A105" s="5">
        <v>45868</v>
      </c>
      <c r="B105" s="1">
        <v>173.35</v>
      </c>
      <c r="C105" s="1">
        <f t="shared" si="8"/>
        <v>2.0786715345660119E-2</v>
      </c>
      <c r="D105" s="1">
        <f t="shared" si="9"/>
        <v>4.3431047389160259E-4</v>
      </c>
      <c r="E105" s="1">
        <v>91</v>
      </c>
      <c r="F105" s="1">
        <f t="shared" si="5"/>
        <v>2.0786715345660119E-2</v>
      </c>
      <c r="G105" s="1">
        <f t="shared" si="6"/>
        <v>4.3431047389160259E-4</v>
      </c>
      <c r="O105" s="10">
        <v>45867</v>
      </c>
      <c r="P105" s="11">
        <v>582.25</v>
      </c>
      <c r="Q105" s="1">
        <f t="shared" si="7"/>
        <v>1.2036798211676478E-3</v>
      </c>
    </row>
    <row r="106" spans="1:17" ht="19" x14ac:dyDescent="0.25">
      <c r="A106" s="5">
        <v>45867</v>
      </c>
      <c r="B106" s="1">
        <v>175.44</v>
      </c>
      <c r="C106" s="1">
        <f t="shared" si="8"/>
        <v>1.2056533025670628E-2</v>
      </c>
      <c r="D106" s="1">
        <f t="shared" si="9"/>
        <v>1.4665051639559386E-4</v>
      </c>
      <c r="E106" s="1">
        <v>92</v>
      </c>
      <c r="F106" s="1">
        <f t="shared" si="5"/>
        <v>1.2056533025670628E-2</v>
      </c>
      <c r="G106" s="1">
        <f t="shared" si="6"/>
        <v>1.4665051639559386E-4</v>
      </c>
      <c r="O106" s="10">
        <v>45866</v>
      </c>
      <c r="P106" s="11">
        <v>583.77</v>
      </c>
      <c r="Q106" s="1">
        <f t="shared" si="7"/>
        <v>2.6105624731644172E-3</v>
      </c>
    </row>
    <row r="107" spans="1:17" ht="19" x14ac:dyDescent="0.25">
      <c r="A107" s="5">
        <v>45866</v>
      </c>
      <c r="B107" s="1">
        <v>175.38</v>
      </c>
      <c r="C107" s="1">
        <f t="shared" si="8"/>
        <v>-3.4199726402190078E-4</v>
      </c>
      <c r="D107" s="1">
        <f t="shared" si="9"/>
        <v>8.3287463069489665E-8</v>
      </c>
      <c r="E107" s="1">
        <v>93</v>
      </c>
      <c r="F107" s="1">
        <f t="shared" si="5"/>
        <v>-3.4199726402190078E-4</v>
      </c>
      <c r="G107" s="1">
        <f t="shared" si="6"/>
        <v>8.3287463069489665E-8</v>
      </c>
      <c r="O107" s="10">
        <v>45863</v>
      </c>
      <c r="P107" s="11">
        <v>583.91</v>
      </c>
      <c r="Q107" s="1">
        <f t="shared" si="7"/>
        <v>2.3982047724272634E-4</v>
      </c>
    </row>
    <row r="108" spans="1:17" ht="19" x14ac:dyDescent="0.25">
      <c r="A108" s="5">
        <v>45863</v>
      </c>
      <c r="B108" s="1">
        <v>176.35</v>
      </c>
      <c r="C108" s="1">
        <f t="shared" si="8"/>
        <v>5.5308473029991954E-3</v>
      </c>
      <c r="D108" s="1">
        <f t="shared" si="9"/>
        <v>3.1183835698859522E-5</v>
      </c>
      <c r="E108" s="1">
        <v>94</v>
      </c>
      <c r="F108" s="1">
        <f t="shared" si="5"/>
        <v>5.5308473029991954E-3</v>
      </c>
      <c r="G108" s="1">
        <f t="shared" si="6"/>
        <v>3.1183835698859522E-5</v>
      </c>
      <c r="O108" s="10">
        <v>45862</v>
      </c>
      <c r="P108" s="11">
        <v>581.6</v>
      </c>
      <c r="Q108" s="1">
        <f t="shared" si="7"/>
        <v>-3.9560891233237066E-3</v>
      </c>
    </row>
    <row r="109" spans="1:17" ht="19" x14ac:dyDescent="0.25">
      <c r="A109" s="5">
        <v>45862</v>
      </c>
      <c r="B109" s="1">
        <v>180.9</v>
      </c>
      <c r="C109" s="1">
        <f t="shared" si="8"/>
        <v>2.5800963992061308E-2</v>
      </c>
      <c r="D109" s="1">
        <f t="shared" si="9"/>
        <v>6.6844821965039854E-4</v>
      </c>
      <c r="E109" s="1">
        <v>95</v>
      </c>
      <c r="F109" s="1">
        <f t="shared" si="5"/>
        <v>2.5800963992061308E-2</v>
      </c>
      <c r="G109" s="1">
        <f t="shared" si="6"/>
        <v>6.6844821965039854E-4</v>
      </c>
      <c r="O109" s="10">
        <v>45861</v>
      </c>
      <c r="P109" s="11">
        <v>581.20000000000005</v>
      </c>
      <c r="Q109" s="1">
        <f t="shared" si="7"/>
        <v>-6.8775790921591685E-4</v>
      </c>
    </row>
    <row r="110" spans="1:17" ht="19" x14ac:dyDescent="0.25">
      <c r="A110" s="5">
        <v>45861</v>
      </c>
      <c r="B110" s="1">
        <v>180.53</v>
      </c>
      <c r="C110" s="1">
        <f t="shared" si="8"/>
        <v>-2.0453289110005778E-3</v>
      </c>
      <c r="D110" s="1">
        <f t="shared" si="9"/>
        <v>3.9677744521853584E-6</v>
      </c>
      <c r="E110" s="1">
        <v>96</v>
      </c>
      <c r="F110" s="1">
        <f t="shared" si="5"/>
        <v>-2.0453289110005778E-3</v>
      </c>
      <c r="G110" s="1">
        <f t="shared" si="6"/>
        <v>3.9677744521853584E-6</v>
      </c>
      <c r="O110" s="10">
        <v>45860</v>
      </c>
      <c r="P110" s="11">
        <v>576.29999999999995</v>
      </c>
      <c r="Q110" s="1">
        <f t="shared" si="7"/>
        <v>-8.4308327598074505E-3</v>
      </c>
    </row>
    <row r="111" spans="1:17" ht="19" x14ac:dyDescent="0.25">
      <c r="A111" s="5">
        <v>45860</v>
      </c>
      <c r="B111" s="1">
        <v>180.58</v>
      </c>
      <c r="C111" s="1">
        <f t="shared" si="8"/>
        <v>2.7696227773783507E-4</v>
      </c>
      <c r="D111" s="1">
        <f t="shared" si="9"/>
        <v>1.0914028510059529E-7</v>
      </c>
      <c r="E111" s="1">
        <v>97</v>
      </c>
      <c r="F111" s="1">
        <f t="shared" si="5"/>
        <v>2.7696227773783507E-4</v>
      </c>
      <c r="G111" s="1">
        <f t="shared" si="6"/>
        <v>1.0914028510059529E-7</v>
      </c>
      <c r="O111" s="10">
        <v>45859</v>
      </c>
      <c r="P111" s="11">
        <v>576.29999999999995</v>
      </c>
      <c r="Q111" s="1">
        <f t="shared" si="7"/>
        <v>0</v>
      </c>
    </row>
    <row r="112" spans="1:17" ht="19" x14ac:dyDescent="0.25">
      <c r="A112" s="5">
        <v>45859</v>
      </c>
      <c r="B112" s="1">
        <v>176.86</v>
      </c>
      <c r="C112" s="1">
        <f t="shared" si="8"/>
        <v>-2.0600287961014502E-2</v>
      </c>
      <c r="D112" s="1">
        <f t="shared" si="9"/>
        <v>4.2217453954376127E-4</v>
      </c>
      <c r="E112" s="1">
        <v>98</v>
      </c>
      <c r="F112" s="1">
        <f t="shared" si="5"/>
        <v>-2.0600287961014502E-2</v>
      </c>
      <c r="G112" s="1">
        <f t="shared" si="6"/>
        <v>4.2217453954376127E-4</v>
      </c>
      <c r="O112" s="10">
        <v>45856</v>
      </c>
      <c r="P112" s="11">
        <v>575.27</v>
      </c>
      <c r="Q112" s="1">
        <f t="shared" si="7"/>
        <v>-1.7872635779975234E-3</v>
      </c>
    </row>
    <row r="113" spans="1:17" ht="19" x14ac:dyDescent="0.25">
      <c r="A113" s="5">
        <v>45856</v>
      </c>
      <c r="B113" s="1">
        <v>178.64</v>
      </c>
      <c r="C113" s="1">
        <f t="shared" si="8"/>
        <v>1.0064457763202379E-2</v>
      </c>
      <c r="D113" s="1">
        <f t="shared" si="9"/>
        <v>1.0237107789099782E-4</v>
      </c>
      <c r="E113" s="1">
        <v>99</v>
      </c>
      <c r="F113" s="1">
        <f t="shared" si="5"/>
        <v>1.0064457763202379E-2</v>
      </c>
      <c r="G113" s="1">
        <f t="shared" si="6"/>
        <v>1.0237107789099782E-4</v>
      </c>
      <c r="O113" s="10">
        <v>45855</v>
      </c>
      <c r="P113" s="11">
        <v>575.53</v>
      </c>
      <c r="Q113" s="1">
        <f t="shared" si="7"/>
        <v>4.5196168755539296E-4</v>
      </c>
    </row>
    <row r="114" spans="1:17" ht="19" x14ac:dyDescent="0.25">
      <c r="A114" s="5">
        <v>45855</v>
      </c>
      <c r="B114" s="1">
        <v>179.09</v>
      </c>
      <c r="C114" s="1">
        <f t="shared" si="8"/>
        <v>2.5190326914465802E-3</v>
      </c>
      <c r="D114" s="1">
        <f t="shared" si="9"/>
        <v>6.6174181323140337E-6</v>
      </c>
      <c r="E114" s="1">
        <v>100</v>
      </c>
      <c r="F114" s="1">
        <f t="shared" si="5"/>
        <v>2.5190326914465802E-3</v>
      </c>
      <c r="G114" s="1">
        <f t="shared" si="6"/>
        <v>6.6174181323140337E-6</v>
      </c>
      <c r="O114" s="10">
        <v>45854</v>
      </c>
      <c r="P114" s="11">
        <v>572.1</v>
      </c>
      <c r="Q114" s="1">
        <f t="shared" si="7"/>
        <v>-5.9597240804127498E-3</v>
      </c>
    </row>
    <row r="115" spans="1:17" ht="19" x14ac:dyDescent="0.25">
      <c r="A115" s="5">
        <v>45854</v>
      </c>
      <c r="B115" s="1">
        <v>177.5</v>
      </c>
      <c r="C115" s="1">
        <f t="shared" si="8"/>
        <v>-8.8782176559272057E-3</v>
      </c>
      <c r="D115" s="1">
        <f t="shared" si="9"/>
        <v>7.7877378597610049E-5</v>
      </c>
      <c r="E115" s="1">
        <v>101</v>
      </c>
      <c r="F115" s="1">
        <f t="shared" si="5"/>
        <v>-8.8782176559272057E-3</v>
      </c>
      <c r="G115" s="1">
        <f t="shared" si="6"/>
        <v>7.7877378597610049E-5</v>
      </c>
      <c r="O115" s="10">
        <v>45853</v>
      </c>
      <c r="P115" s="11">
        <v>570.23</v>
      </c>
      <c r="Q115" s="1">
        <f t="shared" si="7"/>
        <v>-3.2686593252927889E-3</v>
      </c>
    </row>
    <row r="116" spans="1:17" ht="19" x14ac:dyDescent="0.25">
      <c r="A116" s="5">
        <v>45853</v>
      </c>
      <c r="B116" s="1">
        <v>175.02</v>
      </c>
      <c r="C116" s="1">
        <f t="shared" si="8"/>
        <v>-1.3971830985915435E-2</v>
      </c>
      <c r="D116" s="1">
        <f t="shared" si="9"/>
        <v>1.9372267684934021E-4</v>
      </c>
      <c r="E116" s="1">
        <v>102</v>
      </c>
      <c r="F116" s="1">
        <f t="shared" si="5"/>
        <v>-1.3971830985915435E-2</v>
      </c>
      <c r="G116" s="1">
        <f t="shared" si="6"/>
        <v>1.9372267684934021E-4</v>
      </c>
      <c r="O116" s="10">
        <v>45852</v>
      </c>
      <c r="P116" s="11">
        <v>572.71</v>
      </c>
      <c r="Q116" s="1">
        <f t="shared" si="7"/>
        <v>4.349122283990702E-3</v>
      </c>
    </row>
    <row r="117" spans="1:17" ht="19" x14ac:dyDescent="0.25">
      <c r="A117" s="5">
        <v>45852</v>
      </c>
      <c r="B117" s="1">
        <v>176.17</v>
      </c>
      <c r="C117" s="1">
        <f t="shared" si="8"/>
        <v>6.5706776368413735E-3</v>
      </c>
      <c r="D117" s="1">
        <f t="shared" si="9"/>
        <v>4.3878425603348973E-5</v>
      </c>
      <c r="E117" s="1">
        <v>103</v>
      </c>
      <c r="F117" s="1">
        <f t="shared" si="5"/>
        <v>6.5706776368413735E-3</v>
      </c>
      <c r="G117" s="1">
        <f t="shared" si="6"/>
        <v>4.3878425603348973E-5</v>
      </c>
      <c r="O117" s="10">
        <v>45849</v>
      </c>
      <c r="P117" s="11">
        <v>571.59</v>
      </c>
      <c r="Q117" s="1">
        <f t="shared" si="7"/>
        <v>-1.9556145344066011E-3</v>
      </c>
    </row>
    <row r="118" spans="1:17" ht="19" x14ac:dyDescent="0.25">
      <c r="A118" s="5">
        <v>45849</v>
      </c>
      <c r="B118" s="1">
        <v>175.19</v>
      </c>
      <c r="C118" s="1">
        <f t="shared" si="8"/>
        <v>-5.5628086507350282E-3</v>
      </c>
      <c r="D118" s="1">
        <f t="shared" si="9"/>
        <v>3.0353566160978815E-5</v>
      </c>
      <c r="E118" s="1">
        <v>104</v>
      </c>
      <c r="F118" s="1">
        <f t="shared" si="5"/>
        <v>-5.5628086507350282E-3</v>
      </c>
      <c r="G118" s="1">
        <f t="shared" si="6"/>
        <v>3.0353566160978815E-5</v>
      </c>
      <c r="O118" s="10">
        <v>45848</v>
      </c>
      <c r="P118" s="11">
        <v>573.65</v>
      </c>
      <c r="Q118" s="1">
        <f t="shared" si="7"/>
        <v>3.6039818751201829E-3</v>
      </c>
    </row>
    <row r="119" spans="1:17" ht="19" x14ac:dyDescent="0.25">
      <c r="A119" s="5">
        <v>45848</v>
      </c>
      <c r="B119" s="1">
        <v>179.56</v>
      </c>
      <c r="C119" s="1">
        <f t="shared" si="8"/>
        <v>2.4944346138478249E-2</v>
      </c>
      <c r="D119" s="1">
        <f t="shared" si="9"/>
        <v>6.2488739149617746E-4</v>
      </c>
      <c r="E119" s="1">
        <v>105</v>
      </c>
      <c r="F119" s="1">
        <f t="shared" si="5"/>
        <v>2.4944346138478249E-2</v>
      </c>
      <c r="G119" s="1">
        <f t="shared" si="6"/>
        <v>6.2488739149617746E-4</v>
      </c>
      <c r="O119" s="10">
        <v>45847</v>
      </c>
      <c r="P119" s="11">
        <v>571.97</v>
      </c>
      <c r="Q119" s="1">
        <f t="shared" si="7"/>
        <v>-2.928615009151835E-3</v>
      </c>
    </row>
    <row r="120" spans="1:17" ht="19" x14ac:dyDescent="0.25">
      <c r="A120" s="5">
        <v>45847</v>
      </c>
      <c r="B120" s="1">
        <v>179.76</v>
      </c>
      <c r="C120" s="1">
        <f t="shared" si="8"/>
        <v>1.1138338159945903E-3</v>
      </c>
      <c r="D120" s="1">
        <f t="shared" si="9"/>
        <v>1.3624384929857805E-6</v>
      </c>
      <c r="E120" s="1">
        <v>106</v>
      </c>
      <c r="F120" s="1">
        <f t="shared" si="5"/>
        <v>1.1138338159945903E-3</v>
      </c>
      <c r="G120" s="1">
        <f t="shared" si="6"/>
        <v>1.3624384929857805E-6</v>
      </c>
      <c r="O120" s="10">
        <v>45846</v>
      </c>
      <c r="P120" s="11">
        <v>568.6</v>
      </c>
      <c r="Q120" s="1">
        <f t="shared" si="7"/>
        <v>-5.8919174082556853E-3</v>
      </c>
    </row>
    <row r="121" spans="1:17" ht="19" x14ac:dyDescent="0.25">
      <c r="A121" s="5">
        <v>45846</v>
      </c>
      <c r="B121" s="1">
        <v>180.32</v>
      </c>
      <c r="C121" s="1">
        <f t="shared" si="8"/>
        <v>3.1152647975078011E-3</v>
      </c>
      <c r="D121" s="1">
        <f t="shared" si="9"/>
        <v>1.0040446675263169E-5</v>
      </c>
      <c r="E121" s="1">
        <v>107</v>
      </c>
      <c r="F121" s="1">
        <f t="shared" si="5"/>
        <v>3.1152647975078011E-3</v>
      </c>
      <c r="G121" s="1">
        <f t="shared" si="6"/>
        <v>1.0040446675263169E-5</v>
      </c>
      <c r="O121" s="10">
        <v>45845</v>
      </c>
      <c r="P121" s="11">
        <v>568.98</v>
      </c>
      <c r="Q121" s="1">
        <f t="shared" si="7"/>
        <v>6.6830812521983022E-4</v>
      </c>
    </row>
    <row r="122" spans="1:17" ht="19" x14ac:dyDescent="0.25">
      <c r="A122" s="5">
        <v>45845</v>
      </c>
      <c r="B122" s="1">
        <v>180.52</v>
      </c>
      <c r="C122" s="1">
        <f t="shared" si="8"/>
        <v>1.1091393078971664E-3</v>
      </c>
      <c r="D122" s="1">
        <f t="shared" si="9"/>
        <v>1.3515013392620612E-6</v>
      </c>
      <c r="E122" s="1">
        <v>108</v>
      </c>
      <c r="F122" s="1">
        <f t="shared" si="5"/>
        <v>1.1091393078971664E-3</v>
      </c>
      <c r="G122" s="1">
        <f t="shared" si="6"/>
        <v>1.3515013392620612E-6</v>
      </c>
      <c r="O122" s="10">
        <v>45841</v>
      </c>
      <c r="P122" s="11">
        <v>573.58000000000004</v>
      </c>
      <c r="Q122" s="1">
        <f t="shared" si="7"/>
        <v>8.0846426939435879E-3</v>
      </c>
    </row>
    <row r="123" spans="1:17" ht="19" x14ac:dyDescent="0.25">
      <c r="A123" s="5">
        <v>45841</v>
      </c>
      <c r="B123" s="1">
        <v>181.32</v>
      </c>
      <c r="C123" s="1">
        <f t="shared" si="8"/>
        <v>4.4316419233324999E-3</v>
      </c>
      <c r="D123" s="1">
        <f t="shared" si="9"/>
        <v>2.0115615316403037E-5</v>
      </c>
      <c r="E123" s="1">
        <v>109</v>
      </c>
      <c r="F123" s="1">
        <f t="shared" si="5"/>
        <v>4.4316419233324999E-3</v>
      </c>
      <c r="G123" s="1">
        <f t="shared" si="6"/>
        <v>2.0115615316403037E-5</v>
      </c>
      <c r="O123" s="10">
        <v>45840</v>
      </c>
      <c r="P123" s="11">
        <v>568.66</v>
      </c>
      <c r="Q123" s="1">
        <f t="shared" si="7"/>
        <v>-8.5777049408976465E-3</v>
      </c>
    </row>
    <row r="124" spans="1:17" ht="19" x14ac:dyDescent="0.25">
      <c r="A124" s="5">
        <v>45840</v>
      </c>
      <c r="B124" s="1">
        <v>179.42</v>
      </c>
      <c r="C124" s="1">
        <f t="shared" si="8"/>
        <v>-1.0478711669975766E-2</v>
      </c>
      <c r="D124" s="1">
        <f t="shared" si="9"/>
        <v>1.0868709026383703E-4</v>
      </c>
      <c r="E124" s="1">
        <v>110</v>
      </c>
      <c r="F124" s="1">
        <f t="shared" si="5"/>
        <v>-1.0478711669975766E-2</v>
      </c>
      <c r="G124" s="1">
        <f t="shared" si="6"/>
        <v>1.0868709026383703E-4</v>
      </c>
      <c r="O124" s="10">
        <v>45839</v>
      </c>
      <c r="P124" s="11">
        <v>566.15</v>
      </c>
      <c r="Q124" s="1">
        <f t="shared" si="7"/>
        <v>-4.4138852741532567E-3</v>
      </c>
    </row>
    <row r="125" spans="1:17" ht="19" x14ac:dyDescent="0.25">
      <c r="A125" s="5">
        <v>45839</v>
      </c>
      <c r="B125" s="1">
        <v>182.09</v>
      </c>
      <c r="C125" s="1">
        <f t="shared" si="8"/>
        <v>1.4881284137777373E-2</v>
      </c>
      <c r="D125" s="1">
        <f t="shared" si="9"/>
        <v>2.2304483778720109E-4</v>
      </c>
      <c r="E125" s="1">
        <v>111</v>
      </c>
      <c r="F125" s="1">
        <f t="shared" si="5"/>
        <v>1.4881284137777373E-2</v>
      </c>
      <c r="G125" s="1">
        <f t="shared" si="6"/>
        <v>2.2304483778720109E-4</v>
      </c>
      <c r="O125" s="10">
        <v>45838</v>
      </c>
      <c r="P125" s="11">
        <v>566.41</v>
      </c>
      <c r="Q125" s="1">
        <f t="shared" si="7"/>
        <v>4.5924225028701036E-4</v>
      </c>
    </row>
    <row r="126" spans="1:17" ht="19" x14ac:dyDescent="0.25">
      <c r="A126" s="5">
        <v>45838</v>
      </c>
      <c r="B126" s="1">
        <v>180.17</v>
      </c>
      <c r="C126" s="1">
        <f t="shared" si="8"/>
        <v>-1.0544236366631973E-2</v>
      </c>
      <c r="D126" s="1">
        <f t="shared" si="9"/>
        <v>1.1005761431078474E-4</v>
      </c>
      <c r="E126" s="1">
        <v>112</v>
      </c>
      <c r="F126" s="1">
        <f t="shared" si="5"/>
        <v>-1.0544236366631973E-2</v>
      </c>
      <c r="G126" s="1">
        <f t="shared" si="6"/>
        <v>1.1005761431078474E-4</v>
      </c>
      <c r="O126" s="10">
        <v>45835</v>
      </c>
      <c r="P126" s="11">
        <v>563.59</v>
      </c>
      <c r="Q126" s="1">
        <f t="shared" si="7"/>
        <v>-4.9787256580920824E-3</v>
      </c>
    </row>
    <row r="127" spans="1:17" ht="19" x14ac:dyDescent="0.25">
      <c r="A127" s="5">
        <v>45835</v>
      </c>
      <c r="B127" s="1">
        <v>178.32</v>
      </c>
      <c r="C127" s="1">
        <f t="shared" si="8"/>
        <v>-1.0268080146528248E-2</v>
      </c>
      <c r="D127" s="1">
        <f t="shared" si="9"/>
        <v>1.0433965801338684E-4</v>
      </c>
      <c r="E127" s="1">
        <v>113</v>
      </c>
      <c r="F127" s="1">
        <f t="shared" si="5"/>
        <v>-1.0268080146528248E-2</v>
      </c>
      <c r="G127" s="1">
        <f t="shared" si="6"/>
        <v>1.0433965801338684E-4</v>
      </c>
      <c r="O127" s="10">
        <v>45834</v>
      </c>
      <c r="P127" s="11">
        <v>560.80999999999995</v>
      </c>
      <c r="Q127" s="1">
        <f t="shared" si="7"/>
        <v>-4.9326638158946863E-3</v>
      </c>
    </row>
    <row r="128" spans="1:17" ht="19" x14ac:dyDescent="0.25">
      <c r="A128" s="5">
        <v>45834</v>
      </c>
      <c r="B128" s="1">
        <v>177.6</v>
      </c>
      <c r="C128" s="1">
        <f t="shared" si="8"/>
        <v>-4.0376850605652699E-3</v>
      </c>
      <c r="D128" s="1">
        <f t="shared" si="9"/>
        <v>1.5874514773893275E-5</v>
      </c>
      <c r="E128" s="1">
        <v>114</v>
      </c>
      <c r="F128" s="1">
        <f t="shared" si="5"/>
        <v>-4.0376850605652699E-3</v>
      </c>
      <c r="G128" s="1">
        <f t="shared" si="6"/>
        <v>1.5874514773893275E-5</v>
      </c>
      <c r="O128" s="10">
        <v>45833</v>
      </c>
      <c r="P128" s="11">
        <v>556.41</v>
      </c>
      <c r="Q128" s="1">
        <f t="shared" si="7"/>
        <v>-7.8457944758473959E-3</v>
      </c>
    </row>
    <row r="129" spans="1:17" ht="19" x14ac:dyDescent="0.25">
      <c r="A129" s="5">
        <v>45833</v>
      </c>
      <c r="B129" s="1">
        <v>178.06</v>
      </c>
      <c r="C129" s="1">
        <f t="shared" si="8"/>
        <v>2.5900900900901352E-3</v>
      </c>
      <c r="D129" s="1">
        <f t="shared" si="9"/>
        <v>6.9880482626569026E-6</v>
      </c>
      <c r="E129" s="1">
        <v>115</v>
      </c>
      <c r="F129" s="1">
        <f t="shared" si="5"/>
        <v>2.5900900900901352E-3</v>
      </c>
      <c r="G129" s="1">
        <f t="shared" si="6"/>
        <v>6.9880482626569026E-6</v>
      </c>
      <c r="O129" s="10">
        <v>45832</v>
      </c>
      <c r="P129" s="11">
        <v>556.13</v>
      </c>
      <c r="Q129" s="1">
        <f t="shared" si="7"/>
        <v>-5.032260383529641E-4</v>
      </c>
    </row>
    <row r="130" spans="1:17" ht="19" x14ac:dyDescent="0.25">
      <c r="A130" s="5">
        <v>45832</v>
      </c>
      <c r="B130" s="1">
        <v>181.02</v>
      </c>
      <c r="C130" s="1">
        <f t="shared" si="8"/>
        <v>1.6623610019094733E-2</v>
      </c>
      <c r="D130" s="1">
        <f t="shared" si="9"/>
        <v>2.7812271620957229E-4</v>
      </c>
      <c r="E130" s="1">
        <v>116</v>
      </c>
      <c r="F130" s="1">
        <f t="shared" si="5"/>
        <v>1.6623610019094733E-2</v>
      </c>
      <c r="G130" s="1">
        <f t="shared" si="6"/>
        <v>2.7812271620957229E-4</v>
      </c>
      <c r="O130" s="10">
        <v>45831</v>
      </c>
      <c r="P130" s="11">
        <v>550.08000000000004</v>
      </c>
      <c r="Q130" s="1">
        <f t="shared" si="7"/>
        <v>-1.087875137108222E-2</v>
      </c>
    </row>
    <row r="131" spans="1:17" ht="19" x14ac:dyDescent="0.25">
      <c r="A131" s="5">
        <v>45831</v>
      </c>
      <c r="B131" s="1">
        <v>181.02</v>
      </c>
      <c r="C131" s="1">
        <f t="shared" si="8"/>
        <v>0</v>
      </c>
      <c r="D131" s="1">
        <f t="shared" si="9"/>
        <v>2.8517298135410182E-9</v>
      </c>
      <c r="E131" s="1">
        <v>117</v>
      </c>
      <c r="F131" s="1">
        <f t="shared" si="5"/>
        <v>0</v>
      </c>
      <c r="G131" s="1">
        <f t="shared" si="6"/>
        <v>2.8517298135410182E-9</v>
      </c>
      <c r="O131" s="10">
        <v>45828</v>
      </c>
      <c r="P131" s="11">
        <v>544.48</v>
      </c>
      <c r="Q131" s="1">
        <f t="shared" si="7"/>
        <v>-1.0180337405468335E-2</v>
      </c>
    </row>
    <row r="132" spans="1:17" ht="19" x14ac:dyDescent="0.25">
      <c r="A132" s="5">
        <v>45828</v>
      </c>
      <c r="B132" s="1">
        <v>178.28</v>
      </c>
      <c r="C132" s="1">
        <f t="shared" si="8"/>
        <v>-1.5136449011159037E-2</v>
      </c>
      <c r="D132" s="1">
        <f t="shared" si="9"/>
        <v>2.2749831950921108E-4</v>
      </c>
      <c r="E132" s="1">
        <v>118</v>
      </c>
      <c r="F132" s="1">
        <f t="shared" si="5"/>
        <v>-1.5136449011159037E-2</v>
      </c>
      <c r="G132" s="1">
        <f t="shared" si="6"/>
        <v>2.2749831950921108E-4</v>
      </c>
      <c r="O132" s="10">
        <v>45826</v>
      </c>
      <c r="P132" s="11">
        <v>545.99</v>
      </c>
      <c r="Q132" s="1">
        <f t="shared" si="7"/>
        <v>2.7732882750514084E-3</v>
      </c>
    </row>
    <row r="133" spans="1:17" ht="19" x14ac:dyDescent="0.25">
      <c r="A133" s="5">
        <v>45826</v>
      </c>
      <c r="B133" s="1">
        <v>181.39</v>
      </c>
      <c r="C133" s="1">
        <f t="shared" si="8"/>
        <v>1.7444469374018313E-2</v>
      </c>
      <c r="D133" s="1">
        <f t="shared" si="9"/>
        <v>3.0617548827311178E-4</v>
      </c>
      <c r="E133" s="1">
        <v>119</v>
      </c>
      <c r="F133" s="1">
        <f t="shared" si="5"/>
        <v>1.7444469374018313E-2</v>
      </c>
      <c r="G133" s="1">
        <f t="shared" si="6"/>
        <v>3.0617548827311178E-4</v>
      </c>
      <c r="O133" s="10">
        <v>45825</v>
      </c>
      <c r="P133" s="11">
        <v>546.1</v>
      </c>
      <c r="Q133" s="1">
        <f t="shared" si="7"/>
        <v>2.0146889137166181E-4</v>
      </c>
    </row>
    <row r="134" spans="1:17" ht="19" x14ac:dyDescent="0.25">
      <c r="A134" s="5">
        <v>45825</v>
      </c>
      <c r="B134" s="1">
        <v>180.33</v>
      </c>
      <c r="C134" s="1">
        <f t="shared" si="8"/>
        <v>-5.843762059650333E-3</v>
      </c>
      <c r="D134" s="1">
        <f t="shared" si="9"/>
        <v>3.3528274368596251E-5</v>
      </c>
      <c r="E134" s="1">
        <v>120</v>
      </c>
      <c r="F134" s="1">
        <f t="shared" si="5"/>
        <v>-5.843762059650333E-3</v>
      </c>
      <c r="G134" s="1">
        <f t="shared" si="6"/>
        <v>3.3528274368596251E-5</v>
      </c>
      <c r="O134" s="10">
        <v>45824</v>
      </c>
      <c r="P134" s="11">
        <v>550.79</v>
      </c>
      <c r="Q134" s="1">
        <f t="shared" si="7"/>
        <v>8.588170664713313E-3</v>
      </c>
    </row>
    <row r="135" spans="1:17" ht="19" x14ac:dyDescent="0.25">
      <c r="A135" s="5">
        <v>45824</v>
      </c>
      <c r="B135" s="1">
        <v>180.64</v>
      </c>
      <c r="C135" s="1">
        <f t="shared" si="8"/>
        <v>1.71907059280194E-3</v>
      </c>
      <c r="D135" s="1">
        <f t="shared" si="9"/>
        <v>3.1416576387739109E-6</v>
      </c>
      <c r="E135" s="1">
        <v>121</v>
      </c>
      <c r="F135" s="1">
        <f t="shared" si="5"/>
        <v>1.71907059280194E-3</v>
      </c>
      <c r="G135" s="1">
        <f t="shared" si="6"/>
        <v>3.1416576387739109E-6</v>
      </c>
      <c r="O135" s="10">
        <v>45821</v>
      </c>
      <c r="P135" s="11">
        <v>545.52</v>
      </c>
      <c r="Q135" s="1">
        <f t="shared" si="7"/>
        <v>-9.5680749468944285E-3</v>
      </c>
    </row>
    <row r="136" spans="1:17" ht="19" x14ac:dyDescent="0.25">
      <c r="A136" s="5">
        <v>45821</v>
      </c>
      <c r="B136" s="1">
        <v>179.1</v>
      </c>
      <c r="C136" s="1">
        <f t="shared" si="8"/>
        <v>-8.5252435783879105E-3</v>
      </c>
      <c r="D136" s="1">
        <f t="shared" si="9"/>
        <v>7.1772106676369036E-5</v>
      </c>
      <c r="E136" s="1">
        <v>122</v>
      </c>
      <c r="F136" s="1">
        <f t="shared" si="5"/>
        <v>-8.5252435783879105E-3</v>
      </c>
      <c r="G136" s="1">
        <f t="shared" si="6"/>
        <v>7.1772106676369036E-5</v>
      </c>
      <c r="O136" s="10">
        <v>45820</v>
      </c>
      <c r="P136" s="11">
        <v>551.66</v>
      </c>
      <c r="Q136" s="1">
        <f t="shared" si="7"/>
        <v>1.1255316028743193E-2</v>
      </c>
    </row>
    <row r="137" spans="1:17" ht="19" x14ac:dyDescent="0.25">
      <c r="A137" s="5">
        <v>45820</v>
      </c>
      <c r="B137" s="1">
        <v>180.18</v>
      </c>
      <c r="C137" s="1">
        <f t="shared" si="8"/>
        <v>6.0301507537689142E-3</v>
      </c>
      <c r="D137" s="1">
        <f t="shared" si="9"/>
        <v>3.7009609119263808E-5</v>
      </c>
      <c r="E137" s="1">
        <v>123</v>
      </c>
      <c r="F137" s="1">
        <f t="shared" si="5"/>
        <v>6.0301507537689142E-3</v>
      </c>
      <c r="G137" s="1">
        <f t="shared" si="6"/>
        <v>3.7009609119263808E-5</v>
      </c>
      <c r="O137" s="10">
        <v>45819</v>
      </c>
      <c r="P137" s="11">
        <v>549.59</v>
      </c>
      <c r="Q137" s="1">
        <f t="shared" si="7"/>
        <v>-3.7523112061776031E-3</v>
      </c>
    </row>
    <row r="138" spans="1:17" ht="19" x14ac:dyDescent="0.25">
      <c r="A138" s="5">
        <v>45819</v>
      </c>
      <c r="B138" s="1">
        <v>179.8</v>
      </c>
      <c r="C138" s="1">
        <f t="shared" si="8"/>
        <v>-2.1090021090020838E-3</v>
      </c>
      <c r="D138" s="1">
        <f t="shared" si="9"/>
        <v>4.2254934937596332E-6</v>
      </c>
      <c r="E138" s="1">
        <v>124</v>
      </c>
      <c r="F138" s="1">
        <f t="shared" si="5"/>
        <v>-2.1090021090020838E-3</v>
      </c>
      <c r="G138" s="1">
        <f t="shared" si="6"/>
        <v>4.2254934937596332E-6</v>
      </c>
      <c r="O138" s="10">
        <v>45818</v>
      </c>
      <c r="P138" s="11">
        <v>551.11</v>
      </c>
      <c r="Q138" s="1">
        <f t="shared" si="7"/>
        <v>2.765698065830859E-3</v>
      </c>
    </row>
    <row r="139" spans="1:17" ht="19" x14ac:dyDescent="0.25">
      <c r="A139" s="5">
        <v>45818</v>
      </c>
      <c r="B139" s="1">
        <v>179.51</v>
      </c>
      <c r="C139" s="1">
        <f t="shared" si="8"/>
        <v>-1.6129032258065652E-3</v>
      </c>
      <c r="D139" s="1">
        <f t="shared" si="9"/>
        <v>2.4320453521121789E-6</v>
      </c>
      <c r="E139" s="1">
        <v>125</v>
      </c>
      <c r="F139" s="1">
        <f t="shared" si="5"/>
        <v>-1.6129032258065652E-3</v>
      </c>
      <c r="G139" s="1">
        <f t="shared" si="6"/>
        <v>2.4320453521121789E-6</v>
      </c>
      <c r="O139" s="10">
        <v>45817</v>
      </c>
      <c r="P139" s="11">
        <v>547.99</v>
      </c>
      <c r="Q139" s="1">
        <f t="shared" si="7"/>
        <v>-5.661301736495445E-3</v>
      </c>
    </row>
    <row r="140" spans="1:17" ht="19" x14ac:dyDescent="0.25">
      <c r="A140" s="5">
        <v>45817</v>
      </c>
      <c r="B140" s="1">
        <v>179.96</v>
      </c>
      <c r="C140" s="1">
        <f t="shared" si="8"/>
        <v>2.5068241323604095E-3</v>
      </c>
      <c r="D140" s="1">
        <f t="shared" si="9"/>
        <v>6.5547557493885567E-6</v>
      </c>
      <c r="E140" s="1">
        <v>126</v>
      </c>
      <c r="F140" s="1">
        <f t="shared" si="5"/>
        <v>2.5068241323604095E-3</v>
      </c>
      <c r="G140" s="1">
        <f t="shared" si="6"/>
        <v>6.5547557493885567E-6</v>
      </c>
      <c r="O140" s="10">
        <v>45814</v>
      </c>
      <c r="P140" s="11">
        <v>547.4</v>
      </c>
      <c r="Q140" s="1">
        <f t="shared" si="7"/>
        <v>-1.0766619828829573E-3</v>
      </c>
    </row>
    <row r="141" spans="1:17" ht="19" x14ac:dyDescent="0.25">
      <c r="A141" s="5">
        <v>45814</v>
      </c>
      <c r="B141" s="1">
        <v>181.84</v>
      </c>
      <c r="C141" s="1">
        <f t="shared" si="8"/>
        <v>1.0446765947988415E-2</v>
      </c>
      <c r="D141" s="1">
        <f t="shared" si="9"/>
        <v>1.102535183256316E-4</v>
      </c>
      <c r="E141" s="1">
        <v>127</v>
      </c>
      <c r="F141" s="1">
        <f t="shared" si="5"/>
        <v>1.0446765947988415E-2</v>
      </c>
      <c r="G141" s="1">
        <f t="shared" si="6"/>
        <v>1.102535183256316E-4</v>
      </c>
      <c r="O141" s="10">
        <v>45813</v>
      </c>
      <c r="P141" s="11">
        <v>541.86</v>
      </c>
      <c r="Q141" s="1">
        <f t="shared" si="7"/>
        <v>-1.0120569967117216E-2</v>
      </c>
    </row>
    <row r="142" spans="1:17" ht="19" x14ac:dyDescent="0.25">
      <c r="A142" s="5">
        <v>45813</v>
      </c>
      <c r="B142" s="1">
        <v>181.01</v>
      </c>
      <c r="C142" s="1">
        <f t="shared" si="8"/>
        <v>-4.5644522657281817E-3</v>
      </c>
      <c r="D142" s="1">
        <f t="shared" si="9"/>
        <v>2.0349578199071065E-5</v>
      </c>
      <c r="E142" s="1">
        <v>128</v>
      </c>
      <c r="F142" s="1">
        <f t="shared" si="5"/>
        <v>-4.5644522657281817E-3</v>
      </c>
      <c r="G142" s="1">
        <f t="shared" si="6"/>
        <v>2.0349578199071065E-5</v>
      </c>
      <c r="O142" s="10">
        <v>45812</v>
      </c>
      <c r="P142" s="11">
        <v>544.41</v>
      </c>
      <c r="Q142" s="1">
        <f t="shared" si="7"/>
        <v>4.7060126231867174E-3</v>
      </c>
    </row>
    <row r="143" spans="1:17" ht="19" x14ac:dyDescent="0.25">
      <c r="A143" s="5">
        <v>45812</v>
      </c>
      <c r="B143" s="1">
        <v>181.51</v>
      </c>
      <c r="C143" s="1">
        <f t="shared" si="8"/>
        <v>2.7622783271642453E-3</v>
      </c>
      <c r="D143" s="1">
        <f t="shared" si="9"/>
        <v>7.9280533958700053E-6</v>
      </c>
      <c r="E143" s="1">
        <v>129</v>
      </c>
      <c r="F143" s="1">
        <f t="shared" si="5"/>
        <v>2.7622783271642453E-3</v>
      </c>
      <c r="G143" s="1">
        <f t="shared" si="6"/>
        <v>7.9280533958700053E-6</v>
      </c>
      <c r="O143" s="10">
        <v>45811</v>
      </c>
      <c r="P143" s="11">
        <v>544.76</v>
      </c>
      <c r="Q143" s="1">
        <f t="shared" si="7"/>
        <v>6.4289781598431833E-4</v>
      </c>
    </row>
    <row r="144" spans="1:17" ht="19" x14ac:dyDescent="0.25">
      <c r="A144" s="5">
        <v>45811</v>
      </c>
      <c r="B144" s="1">
        <v>180.21</v>
      </c>
      <c r="C144" s="1">
        <f t="shared" si="8"/>
        <v>-7.1621398270066833E-3</v>
      </c>
      <c r="D144" s="1">
        <f t="shared" si="9"/>
        <v>5.0534159322412279E-5</v>
      </c>
      <c r="E144" s="1">
        <v>130</v>
      </c>
      <c r="F144" s="1">
        <f t="shared" ref="F144:F207" si="10">IF(E144&lt;$B$5,C144,"")</f>
        <v>-7.1621398270066833E-3</v>
      </c>
      <c r="G144" s="1">
        <f t="shared" ref="G144:G207" si="11">IF(E144&lt;=$B$5,D144,"")</f>
        <v>5.0534159322412279E-5</v>
      </c>
      <c r="O144" s="10">
        <v>45810</v>
      </c>
      <c r="P144" s="11">
        <v>541.67999999999995</v>
      </c>
      <c r="Q144" s="1">
        <f t="shared" ref="Q144:Q207" si="12">(P144-P143)/P143</f>
        <v>-5.6538659226081965E-3</v>
      </c>
    </row>
    <row r="145" spans="1:17" ht="19" x14ac:dyDescent="0.25">
      <c r="A145" s="5">
        <v>45810</v>
      </c>
      <c r="B145" s="1">
        <v>180.37</v>
      </c>
      <c r="C145" s="1">
        <f t="shared" ref="C145:C208" si="13">(B145-B144)/B144</f>
        <v>8.8785306031849832E-4</v>
      </c>
      <c r="D145" s="1">
        <f t="shared" ref="D145:D208" si="14">(C145-$B$7)^2</f>
        <v>8.8596031672880039E-7</v>
      </c>
      <c r="E145" s="1">
        <v>131</v>
      </c>
      <c r="F145" s="1">
        <f t="shared" si="10"/>
        <v>8.8785306031849832E-4</v>
      </c>
      <c r="G145" s="1">
        <f t="shared" si="11"/>
        <v>8.8596031672880039E-7</v>
      </c>
      <c r="O145" s="10">
        <v>45807</v>
      </c>
      <c r="P145" s="11">
        <v>538.54999999999995</v>
      </c>
      <c r="Q145" s="1">
        <f t="shared" si="12"/>
        <v>-5.7783193029094593E-3</v>
      </c>
    </row>
    <row r="146" spans="1:17" ht="19" x14ac:dyDescent="0.25">
      <c r="A146" s="5">
        <v>45807</v>
      </c>
      <c r="B146" s="1">
        <v>181.17</v>
      </c>
      <c r="C146" s="1">
        <f t="shared" si="13"/>
        <v>4.4353273826023337E-3</v>
      </c>
      <c r="D146" s="1">
        <f t="shared" si="14"/>
        <v>2.0148687789396635E-5</v>
      </c>
      <c r="E146" s="1">
        <v>132</v>
      </c>
      <c r="F146" s="1">
        <f t="shared" si="10"/>
        <v>4.4353273826023337E-3</v>
      </c>
      <c r="G146" s="1">
        <f t="shared" si="11"/>
        <v>2.0148687789396635E-5</v>
      </c>
      <c r="O146" s="10">
        <v>45806</v>
      </c>
      <c r="P146" s="11">
        <v>539.11</v>
      </c>
      <c r="Q146" s="1">
        <f t="shared" si="12"/>
        <v>1.0398291709220299E-3</v>
      </c>
    </row>
    <row r="147" spans="1:17" ht="19" x14ac:dyDescent="0.25">
      <c r="A147" s="5">
        <v>45806</v>
      </c>
      <c r="B147" s="1">
        <v>180.08</v>
      </c>
      <c r="C147" s="1">
        <f t="shared" si="13"/>
        <v>-6.0164486393993214E-3</v>
      </c>
      <c r="D147" s="1">
        <f t="shared" si="14"/>
        <v>3.5557930113460168E-5</v>
      </c>
      <c r="E147" s="1">
        <v>133</v>
      </c>
      <c r="F147" s="1">
        <f t="shared" si="10"/>
        <v>-6.0164486393993214E-3</v>
      </c>
      <c r="G147" s="1">
        <f t="shared" si="11"/>
        <v>3.5557930113460168E-5</v>
      </c>
      <c r="O147" s="10">
        <v>45805</v>
      </c>
      <c r="P147" s="11">
        <v>537.04</v>
      </c>
      <c r="Q147" s="1">
        <f t="shared" si="12"/>
        <v>-3.8396616645954441E-3</v>
      </c>
    </row>
    <row r="148" spans="1:17" ht="19" x14ac:dyDescent="0.25">
      <c r="A148" s="5">
        <v>45805</v>
      </c>
      <c r="B148" s="1">
        <v>182.1</v>
      </c>
      <c r="C148" s="1">
        <f t="shared" si="13"/>
        <v>1.1217236783651609E-2</v>
      </c>
      <c r="D148" s="1">
        <f t="shared" si="14"/>
        <v>1.2702728934941985E-4</v>
      </c>
      <c r="E148" s="1">
        <v>134</v>
      </c>
      <c r="F148" s="1">
        <f t="shared" si="10"/>
        <v>1.1217236783651609E-2</v>
      </c>
      <c r="G148" s="1">
        <f t="shared" si="11"/>
        <v>1.2702728934941985E-4</v>
      </c>
      <c r="O148" s="10">
        <v>45804</v>
      </c>
      <c r="P148" s="11">
        <v>540.12</v>
      </c>
      <c r="Q148" s="1">
        <f t="shared" si="12"/>
        <v>5.7351407716371983E-3</v>
      </c>
    </row>
    <row r="149" spans="1:17" ht="19" x14ac:dyDescent="0.25">
      <c r="A149" s="5">
        <v>45804</v>
      </c>
      <c r="B149" s="1">
        <v>184.59</v>
      </c>
      <c r="C149" s="1">
        <f t="shared" si="13"/>
        <v>1.3673805601318008E-2</v>
      </c>
      <c r="D149" s="1">
        <f t="shared" si="14"/>
        <v>1.8843621727311909E-4</v>
      </c>
      <c r="E149" s="1">
        <v>135</v>
      </c>
      <c r="F149" s="1">
        <f t="shared" si="10"/>
        <v>1.3673805601318008E-2</v>
      </c>
      <c r="G149" s="1">
        <f t="shared" si="11"/>
        <v>1.8843621727311909E-4</v>
      </c>
      <c r="O149" s="10">
        <v>45800</v>
      </c>
      <c r="P149" s="11">
        <v>529.25</v>
      </c>
      <c r="Q149" s="1">
        <f t="shared" si="12"/>
        <v>-2.0125157372435764E-2</v>
      </c>
    </row>
    <row r="150" spans="1:17" ht="19" x14ac:dyDescent="0.25">
      <c r="A150" s="5">
        <v>45800</v>
      </c>
      <c r="B150" s="1">
        <v>182</v>
      </c>
      <c r="C150" s="1">
        <f t="shared" si="13"/>
        <v>-1.4031095942358759E-2</v>
      </c>
      <c r="D150" s="1">
        <f t="shared" si="14"/>
        <v>1.9537593940822034E-4</v>
      </c>
      <c r="E150" s="1">
        <v>136</v>
      </c>
      <c r="F150" s="1">
        <f t="shared" si="10"/>
        <v>-1.4031095942358759E-2</v>
      </c>
      <c r="G150" s="1">
        <f t="shared" si="11"/>
        <v>1.9537593940822034E-4</v>
      </c>
      <c r="O150" s="10">
        <v>45799</v>
      </c>
      <c r="P150" s="11">
        <v>532.85</v>
      </c>
      <c r="Q150" s="1">
        <f t="shared" si="12"/>
        <v>6.802078412848413E-3</v>
      </c>
    </row>
    <row r="151" spans="1:17" ht="19" x14ac:dyDescent="0.25">
      <c r="A151" s="5">
        <v>45799</v>
      </c>
      <c r="B151" s="1">
        <v>181.84</v>
      </c>
      <c r="C151" s="1">
        <f t="shared" si="13"/>
        <v>-8.7912087912086036E-4</v>
      </c>
      <c r="D151" s="1">
        <f t="shared" si="14"/>
        <v>6.8181234444152161E-7</v>
      </c>
      <c r="E151" s="1">
        <v>137</v>
      </c>
      <c r="F151" s="1">
        <f t="shared" si="10"/>
        <v>-8.7912087912086036E-4</v>
      </c>
      <c r="G151" s="1">
        <f t="shared" si="11"/>
        <v>6.8181234444152161E-7</v>
      </c>
      <c r="O151" s="10">
        <v>45798</v>
      </c>
      <c r="P151" s="11">
        <v>532.6</v>
      </c>
      <c r="Q151" s="1">
        <f t="shared" si="12"/>
        <v>-4.6917519001595193E-4</v>
      </c>
    </row>
    <row r="152" spans="1:17" ht="19" x14ac:dyDescent="0.25">
      <c r="A152" s="5">
        <v>45798</v>
      </c>
      <c r="B152" s="1">
        <v>182.98</v>
      </c>
      <c r="C152" s="1">
        <f t="shared" si="13"/>
        <v>6.2692476902770919E-3</v>
      </c>
      <c r="D152" s="1">
        <f t="shared" si="14"/>
        <v>3.9975893921271562E-5</v>
      </c>
      <c r="E152" s="1">
        <v>138</v>
      </c>
      <c r="F152" s="1">
        <f t="shared" si="10"/>
        <v>6.2692476902770919E-3</v>
      </c>
      <c r="G152" s="1">
        <f t="shared" si="11"/>
        <v>3.9975893921271562E-5</v>
      </c>
      <c r="O152" s="10">
        <v>45797</v>
      </c>
      <c r="P152" s="11">
        <v>541.65</v>
      </c>
      <c r="Q152" s="1">
        <f t="shared" si="12"/>
        <v>1.6992114156965742E-2</v>
      </c>
    </row>
    <row r="153" spans="1:17" ht="19" x14ac:dyDescent="0.25">
      <c r="A153" s="5">
        <v>45797</v>
      </c>
      <c r="B153" s="1">
        <v>186.02</v>
      </c>
      <c r="C153" s="1">
        <f t="shared" si="13"/>
        <v>1.6613837577877478E-2</v>
      </c>
      <c r="D153" s="1">
        <f t="shared" si="14"/>
        <v>2.777968614789211E-4</v>
      </c>
      <c r="E153" s="1">
        <v>139</v>
      </c>
      <c r="F153" s="1">
        <f t="shared" si="10"/>
        <v>1.6613837577877478E-2</v>
      </c>
      <c r="G153" s="1">
        <f t="shared" si="11"/>
        <v>2.777968614789211E-4</v>
      </c>
      <c r="O153" s="10">
        <v>45796</v>
      </c>
      <c r="P153" s="11">
        <v>543.58000000000004</v>
      </c>
      <c r="Q153" s="1">
        <f t="shared" si="12"/>
        <v>3.5631865595865666E-3</v>
      </c>
    </row>
    <row r="154" spans="1:17" ht="19" x14ac:dyDescent="0.25">
      <c r="A154" s="5">
        <v>45796</v>
      </c>
      <c r="B154" s="1">
        <v>184.29</v>
      </c>
      <c r="C154" s="1">
        <f t="shared" si="13"/>
        <v>-9.3000752607247505E-3</v>
      </c>
      <c r="D154" s="1">
        <f t="shared" si="14"/>
        <v>8.5500973973045259E-5</v>
      </c>
      <c r="E154" s="1">
        <v>140</v>
      </c>
      <c r="F154" s="1">
        <f t="shared" si="10"/>
        <v>-9.3000752607247505E-3</v>
      </c>
      <c r="G154" s="1">
        <f t="shared" si="11"/>
        <v>8.5500973973045259E-5</v>
      </c>
      <c r="O154" s="10">
        <v>45793</v>
      </c>
      <c r="P154" s="11">
        <v>543.03</v>
      </c>
      <c r="Q154" s="1">
        <f t="shared" si="12"/>
        <v>-1.0118105890578538E-3</v>
      </c>
    </row>
    <row r="155" spans="1:17" ht="19" x14ac:dyDescent="0.25">
      <c r="A155" s="5">
        <v>45793</v>
      </c>
      <c r="B155" s="1">
        <v>182.67</v>
      </c>
      <c r="C155" s="1">
        <f t="shared" si="13"/>
        <v>-8.7904932443431793E-3</v>
      </c>
      <c r="D155" s="1">
        <f t="shared" si="14"/>
        <v>7.6336770576554736E-5</v>
      </c>
      <c r="E155" s="1">
        <v>141</v>
      </c>
      <c r="F155" s="1">
        <f t="shared" si="10"/>
        <v>-8.7904932443431793E-3</v>
      </c>
      <c r="G155" s="1">
        <f t="shared" si="11"/>
        <v>7.6336770576554736E-5</v>
      </c>
      <c r="O155" s="10">
        <v>45792</v>
      </c>
      <c r="P155" s="11">
        <v>539.54999999999995</v>
      </c>
      <c r="Q155" s="1">
        <f t="shared" si="12"/>
        <v>-6.4084857190210825E-3</v>
      </c>
    </row>
    <row r="156" spans="1:17" ht="19" x14ac:dyDescent="0.25">
      <c r="A156" s="5">
        <v>45792</v>
      </c>
      <c r="B156" s="1">
        <v>180.63</v>
      </c>
      <c r="C156" s="1">
        <f t="shared" si="13"/>
        <v>-1.1167679421908317E-2</v>
      </c>
      <c r="D156" s="1">
        <f t="shared" si="14"/>
        <v>1.2352717172505408E-4</v>
      </c>
      <c r="E156" s="1">
        <v>142</v>
      </c>
      <c r="F156" s="1">
        <f t="shared" si="10"/>
        <v>-1.1167679421908317E-2</v>
      </c>
      <c r="G156" s="1">
        <f t="shared" si="11"/>
        <v>1.2352717172505408E-4</v>
      </c>
      <c r="O156" s="10">
        <v>45791</v>
      </c>
      <c r="P156" s="11">
        <v>536.91</v>
      </c>
      <c r="Q156" s="1">
        <f t="shared" si="12"/>
        <v>-4.8929663608562445E-3</v>
      </c>
    </row>
    <row r="157" spans="1:17" ht="19" x14ac:dyDescent="0.25">
      <c r="A157" s="5">
        <v>45791</v>
      </c>
      <c r="B157" s="1">
        <v>177.91</v>
      </c>
      <c r="C157" s="1">
        <f t="shared" si="13"/>
        <v>-1.505840668770414E-2</v>
      </c>
      <c r="D157" s="1">
        <f t="shared" si="14"/>
        <v>2.2515017798240461E-4</v>
      </c>
      <c r="E157" s="1">
        <v>143</v>
      </c>
      <c r="F157" s="1">
        <f t="shared" si="10"/>
        <v>-1.505840668770414E-2</v>
      </c>
      <c r="G157" s="1">
        <f t="shared" si="11"/>
        <v>2.2515017798240461E-4</v>
      </c>
      <c r="O157" s="10">
        <v>45790</v>
      </c>
      <c r="P157" s="11">
        <v>536.25</v>
      </c>
      <c r="Q157" s="1">
        <f t="shared" si="12"/>
        <v>-1.2292562999384779E-3</v>
      </c>
    </row>
    <row r="158" spans="1:17" ht="19" x14ac:dyDescent="0.25">
      <c r="A158" s="5">
        <v>45790</v>
      </c>
      <c r="B158" s="1">
        <v>178.34</v>
      </c>
      <c r="C158" s="1">
        <f t="shared" si="13"/>
        <v>2.4169523916587423E-3</v>
      </c>
      <c r="D158" s="1">
        <f t="shared" si="14"/>
        <v>6.102648794651539E-6</v>
      </c>
      <c r="E158" s="1">
        <v>144</v>
      </c>
      <c r="F158" s="1">
        <f t="shared" si="10"/>
        <v>2.4169523916587423E-3</v>
      </c>
      <c r="G158" s="1">
        <f t="shared" si="11"/>
        <v>6.102648794651539E-6</v>
      </c>
      <c r="O158" s="10">
        <v>45789</v>
      </c>
      <c r="P158" s="11">
        <v>532.75</v>
      </c>
      <c r="Q158" s="1">
        <f t="shared" si="12"/>
        <v>-6.5268065268065268E-3</v>
      </c>
    </row>
    <row r="159" spans="1:17" ht="19" x14ac:dyDescent="0.25">
      <c r="A159" s="5">
        <v>45789</v>
      </c>
      <c r="B159" s="1">
        <v>181.66</v>
      </c>
      <c r="C159" s="1">
        <f t="shared" si="13"/>
        <v>1.8616126499943889E-2</v>
      </c>
      <c r="D159" s="1">
        <f t="shared" si="14"/>
        <v>3.4855127910085886E-4</v>
      </c>
      <c r="E159" s="1">
        <v>145</v>
      </c>
      <c r="F159" s="1">
        <f t="shared" si="10"/>
        <v>1.8616126499943889E-2</v>
      </c>
      <c r="G159" s="1">
        <f t="shared" si="11"/>
        <v>3.4855127910085886E-4</v>
      </c>
      <c r="O159" s="10">
        <v>45786</v>
      </c>
      <c r="P159" s="11">
        <v>515.58000000000004</v>
      </c>
      <c r="Q159" s="1">
        <f t="shared" si="12"/>
        <v>-3.2229000469263178E-2</v>
      </c>
    </row>
    <row r="160" spans="1:17" ht="19" x14ac:dyDescent="0.25">
      <c r="A160" s="5">
        <v>45786</v>
      </c>
      <c r="B160" s="1">
        <v>180.96</v>
      </c>
      <c r="C160" s="1">
        <f t="shared" si="13"/>
        <v>-3.8533524166023815E-3</v>
      </c>
      <c r="D160" s="1">
        <f t="shared" si="14"/>
        <v>1.4439626284666362E-5</v>
      </c>
      <c r="E160" s="1">
        <v>146</v>
      </c>
      <c r="F160" s="1">
        <f t="shared" si="10"/>
        <v>-3.8533524166023815E-3</v>
      </c>
      <c r="G160" s="1">
        <f t="shared" si="11"/>
        <v>1.4439626284666362E-5</v>
      </c>
      <c r="O160" s="10">
        <v>45785</v>
      </c>
      <c r="P160" s="11">
        <v>516.27</v>
      </c>
      <c r="Q160" s="1">
        <f t="shared" si="12"/>
        <v>1.338298615151753E-3</v>
      </c>
    </row>
    <row r="161" spans="1:17" ht="19" x14ac:dyDescent="0.25">
      <c r="A161" s="5">
        <v>45785</v>
      </c>
      <c r="B161" s="1">
        <v>179.42</v>
      </c>
      <c r="C161" s="1">
        <f t="shared" si="13"/>
        <v>-8.510167992926726E-3</v>
      </c>
      <c r="D161" s="1">
        <f t="shared" si="14"/>
        <v>7.1516897993826567E-5</v>
      </c>
      <c r="E161" s="1">
        <v>147</v>
      </c>
      <c r="F161" s="1">
        <f t="shared" si="10"/>
        <v>-8.510167992926726E-3</v>
      </c>
      <c r="G161" s="1">
        <f t="shared" si="11"/>
        <v>7.1516897993826567E-5</v>
      </c>
      <c r="O161" s="10">
        <v>45784</v>
      </c>
      <c r="P161" s="11">
        <v>512.85</v>
      </c>
      <c r="Q161" s="1">
        <f t="shared" si="12"/>
        <v>-6.6244406996338332E-3</v>
      </c>
    </row>
    <row r="162" spans="1:17" ht="19" x14ac:dyDescent="0.25">
      <c r="A162" s="5">
        <v>45784</v>
      </c>
      <c r="B162" s="1">
        <v>171.65</v>
      </c>
      <c r="C162" s="1">
        <f t="shared" si="13"/>
        <v>-4.3306208895329296E-2</v>
      </c>
      <c r="D162" s="1">
        <f t="shared" si="14"/>
        <v>1.8708053397927466E-3</v>
      </c>
      <c r="E162" s="1">
        <v>148</v>
      </c>
      <c r="F162" s="1">
        <f t="shared" si="10"/>
        <v>-4.3306208895329296E-2</v>
      </c>
      <c r="G162" s="1">
        <f t="shared" si="11"/>
        <v>1.8708053397927466E-3</v>
      </c>
      <c r="O162" s="10">
        <v>45783</v>
      </c>
      <c r="P162" s="11">
        <v>510.54</v>
      </c>
      <c r="Q162" s="1">
        <f t="shared" si="12"/>
        <v>-4.504241006142151E-3</v>
      </c>
    </row>
    <row r="163" spans="1:17" ht="19" x14ac:dyDescent="0.25">
      <c r="A163" s="5">
        <v>45783</v>
      </c>
      <c r="B163" s="1">
        <v>172.02</v>
      </c>
      <c r="C163" s="1">
        <f t="shared" si="13"/>
        <v>2.1555490824352141E-3</v>
      </c>
      <c r="D163" s="1">
        <f t="shared" si="14"/>
        <v>4.8794630732111541E-6</v>
      </c>
      <c r="E163" s="1">
        <v>149</v>
      </c>
      <c r="F163" s="1">
        <f t="shared" si="10"/>
        <v>2.1555490824352141E-3</v>
      </c>
      <c r="G163" s="1">
        <f t="shared" si="11"/>
        <v>4.8794630732111541E-6</v>
      </c>
      <c r="O163" s="10">
        <v>45782</v>
      </c>
      <c r="P163" s="11">
        <v>514.91999999999996</v>
      </c>
      <c r="Q163" s="1">
        <f t="shared" si="12"/>
        <v>8.5791514866610623E-3</v>
      </c>
    </row>
    <row r="164" spans="1:17" ht="19" x14ac:dyDescent="0.25">
      <c r="A164" s="5">
        <v>45782</v>
      </c>
      <c r="B164" s="1">
        <v>172.27</v>
      </c>
      <c r="C164" s="1">
        <f t="shared" si="13"/>
        <v>1.4533193814672712E-3</v>
      </c>
      <c r="D164" s="1">
        <f t="shared" si="14"/>
        <v>2.2702080858314267E-6</v>
      </c>
      <c r="E164" s="1">
        <v>150</v>
      </c>
      <c r="F164" s="1">
        <f t="shared" si="10"/>
        <v>1.4533193814672712E-3</v>
      </c>
      <c r="G164" s="1">
        <f t="shared" si="11"/>
        <v>2.2702080858314267E-6</v>
      </c>
      <c r="O164" s="10">
        <v>45779</v>
      </c>
      <c r="P164" s="11">
        <v>517.63</v>
      </c>
      <c r="Q164" s="1">
        <f t="shared" si="12"/>
        <v>5.2629534685000321E-3</v>
      </c>
    </row>
    <row r="165" spans="1:17" ht="19" x14ac:dyDescent="0.25">
      <c r="A165" s="5">
        <v>45779</v>
      </c>
      <c r="B165" s="1">
        <v>174.15</v>
      </c>
      <c r="C165" s="1">
        <f t="shared" si="13"/>
        <v>1.0913101526673219E-2</v>
      </c>
      <c r="D165" s="1">
        <f t="shared" si="14"/>
        <v>1.202641906078007E-4</v>
      </c>
      <c r="E165" s="1">
        <v>151</v>
      </c>
      <c r="F165" s="1">
        <f t="shared" si="10"/>
        <v>1.0913101526673219E-2</v>
      </c>
      <c r="G165" s="1">
        <f t="shared" si="11"/>
        <v>1.202641906078007E-4</v>
      </c>
      <c r="O165" s="10">
        <v>45778</v>
      </c>
      <c r="P165" s="11">
        <v>510.31</v>
      </c>
      <c r="Q165" s="1">
        <f t="shared" si="12"/>
        <v>-1.4141375113498045E-2</v>
      </c>
    </row>
    <row r="166" spans="1:17" ht="19" x14ac:dyDescent="0.25">
      <c r="A166" s="5">
        <v>45778</v>
      </c>
      <c r="B166" s="1">
        <v>173.89</v>
      </c>
      <c r="C166" s="1">
        <f t="shared" si="13"/>
        <v>-1.4929658340512163E-3</v>
      </c>
      <c r="D166" s="1">
        <f t="shared" si="14"/>
        <v>2.0723452127773591E-6</v>
      </c>
      <c r="E166" s="1">
        <v>152</v>
      </c>
      <c r="F166" s="1">
        <f t="shared" si="10"/>
        <v>-1.4929658340512163E-3</v>
      </c>
      <c r="G166" s="1">
        <f t="shared" si="11"/>
        <v>2.0723452127773591E-6</v>
      </c>
      <c r="O166" s="10">
        <v>45777</v>
      </c>
      <c r="P166" s="11">
        <v>506.72</v>
      </c>
      <c r="Q166" s="1">
        <f t="shared" si="12"/>
        <v>-7.0349395465500869E-3</v>
      </c>
    </row>
    <row r="167" spans="1:17" ht="19" x14ac:dyDescent="0.25">
      <c r="A167" s="5">
        <v>45777</v>
      </c>
      <c r="B167" s="1">
        <v>173.43</v>
      </c>
      <c r="C167" s="1">
        <f t="shared" si="13"/>
        <v>-2.6453505089423174E-3</v>
      </c>
      <c r="D167" s="1">
        <f t="shared" si="14"/>
        <v>6.7181991984541581E-6</v>
      </c>
      <c r="E167" s="1">
        <v>153</v>
      </c>
      <c r="F167" s="1">
        <f t="shared" si="10"/>
        <v>-2.6453505089423174E-3</v>
      </c>
      <c r="G167" s="1">
        <f t="shared" si="11"/>
        <v>6.7181991984541581E-6</v>
      </c>
      <c r="O167" s="10">
        <v>45776</v>
      </c>
      <c r="P167" s="11">
        <v>506.47</v>
      </c>
      <c r="Q167" s="1">
        <f t="shared" si="12"/>
        <v>-4.9336911904010103E-4</v>
      </c>
    </row>
    <row r="168" spans="1:17" ht="19" x14ac:dyDescent="0.25">
      <c r="A168" s="5">
        <v>45776</v>
      </c>
      <c r="B168" s="1">
        <v>173.51</v>
      </c>
      <c r="C168" s="1">
        <f t="shared" si="13"/>
        <v>4.6128120855667461E-4</v>
      </c>
      <c r="D168" s="1">
        <f t="shared" si="14"/>
        <v>2.6489838312061702E-7</v>
      </c>
      <c r="E168" s="1">
        <v>154</v>
      </c>
      <c r="F168" s="1">
        <f t="shared" si="10"/>
        <v>4.6128120855667461E-4</v>
      </c>
      <c r="G168" s="1">
        <f t="shared" si="11"/>
        <v>2.6489838312061702E-7</v>
      </c>
      <c r="O168" s="10">
        <v>45775</v>
      </c>
      <c r="P168" s="11">
        <v>503.42</v>
      </c>
      <c r="Q168" s="1">
        <f t="shared" si="12"/>
        <v>-6.0220743578099619E-3</v>
      </c>
    </row>
    <row r="169" spans="1:17" ht="19" x14ac:dyDescent="0.25">
      <c r="A169" s="5">
        <v>45775</v>
      </c>
      <c r="B169" s="1">
        <v>170.05</v>
      </c>
      <c r="C169" s="1">
        <f t="shared" si="13"/>
        <v>-1.9941213762895392E-2</v>
      </c>
      <c r="D169" s="1">
        <f t="shared" si="14"/>
        <v>3.955250730247337E-4</v>
      </c>
      <c r="E169" s="1">
        <v>155</v>
      </c>
      <c r="F169" s="1">
        <f t="shared" si="10"/>
        <v>-1.9941213762895392E-2</v>
      </c>
      <c r="G169" s="1">
        <f t="shared" si="11"/>
        <v>3.955250730247337E-4</v>
      </c>
      <c r="O169" s="10">
        <v>45772</v>
      </c>
      <c r="P169" s="11">
        <v>503.11</v>
      </c>
      <c r="Q169" s="1">
        <f t="shared" si="12"/>
        <v>-6.1578801001152571E-4</v>
      </c>
    </row>
    <row r="170" spans="1:17" ht="19" x14ac:dyDescent="0.25">
      <c r="A170" s="5">
        <v>45772</v>
      </c>
      <c r="B170" s="1">
        <v>170.93</v>
      </c>
      <c r="C170" s="1">
        <f t="shared" si="13"/>
        <v>5.1749485445456945E-3</v>
      </c>
      <c r="D170" s="1">
        <f t="shared" si="14"/>
        <v>2.7335645129307344E-5</v>
      </c>
      <c r="E170" s="1">
        <v>156</v>
      </c>
      <c r="F170" s="1">
        <f t="shared" si="10"/>
        <v>5.1749485445456945E-3</v>
      </c>
      <c r="G170" s="1">
        <f t="shared" si="11"/>
        <v>2.7335645129307344E-5</v>
      </c>
      <c r="O170" s="10">
        <v>45771</v>
      </c>
      <c r="P170" s="11">
        <v>499.44</v>
      </c>
      <c r="Q170" s="1">
        <f t="shared" si="12"/>
        <v>-7.294627417463409E-3</v>
      </c>
    </row>
    <row r="171" spans="1:17" ht="19" x14ac:dyDescent="0.25">
      <c r="A171" s="5">
        <v>45771</v>
      </c>
      <c r="B171" s="1">
        <v>172.54</v>
      </c>
      <c r="C171" s="1">
        <f t="shared" si="13"/>
        <v>9.4190604340957419E-3</v>
      </c>
      <c r="D171" s="1">
        <f t="shared" si="14"/>
        <v>8.9727536797760895E-5</v>
      </c>
      <c r="E171" s="1">
        <v>157</v>
      </c>
      <c r="F171" s="1">
        <f t="shared" si="10"/>
        <v>9.4190604340957419E-3</v>
      </c>
      <c r="G171" s="1">
        <f t="shared" si="11"/>
        <v>8.9727536797760895E-5</v>
      </c>
      <c r="O171" s="10">
        <v>45770</v>
      </c>
      <c r="P171" s="11">
        <v>489.16</v>
      </c>
      <c r="Q171" s="1">
        <f t="shared" si="12"/>
        <v>-2.0583053019381653E-2</v>
      </c>
    </row>
    <row r="172" spans="1:17" ht="19" x14ac:dyDescent="0.25">
      <c r="A172" s="5">
        <v>45770</v>
      </c>
      <c r="B172" s="1">
        <v>173.21</v>
      </c>
      <c r="C172" s="1">
        <f t="shared" si="13"/>
        <v>3.883157528689092E-3</v>
      </c>
      <c r="D172" s="1">
        <f t="shared" si="14"/>
        <v>1.5496497694861477E-5</v>
      </c>
      <c r="E172" s="1">
        <v>158</v>
      </c>
      <c r="F172" s="1">
        <f t="shared" si="10"/>
        <v>3.883157528689092E-3</v>
      </c>
      <c r="G172" s="1">
        <f t="shared" si="11"/>
        <v>1.5496497694861477E-5</v>
      </c>
      <c r="O172" s="10">
        <v>45769</v>
      </c>
      <c r="P172" s="11">
        <v>481.42</v>
      </c>
      <c r="Q172" s="1">
        <f t="shared" si="12"/>
        <v>-1.5823043584921107E-2</v>
      </c>
    </row>
    <row r="173" spans="1:17" ht="19" x14ac:dyDescent="0.25">
      <c r="A173" s="5">
        <v>45769</v>
      </c>
      <c r="B173" s="1">
        <v>172.68</v>
      </c>
      <c r="C173" s="1">
        <f t="shared" si="13"/>
        <v>-3.0598695225448943E-3</v>
      </c>
      <c r="D173" s="1">
        <f t="shared" si="14"/>
        <v>9.0388494294763428E-6</v>
      </c>
      <c r="E173" s="1">
        <v>159</v>
      </c>
      <c r="F173" s="1">
        <f t="shared" si="10"/>
        <v>-3.0598695225448943E-3</v>
      </c>
      <c r="G173" s="1">
        <f t="shared" si="11"/>
        <v>9.0388494294763428E-6</v>
      </c>
      <c r="O173" s="10">
        <v>45768</v>
      </c>
      <c r="P173" s="11">
        <v>469.57</v>
      </c>
      <c r="Q173" s="1">
        <f t="shared" si="12"/>
        <v>-2.4614681567030915E-2</v>
      </c>
    </row>
    <row r="174" spans="1:17" ht="19" x14ac:dyDescent="0.25">
      <c r="A174" s="5">
        <v>45768</v>
      </c>
      <c r="B174" s="1">
        <v>168.72</v>
      </c>
      <c r="C174" s="1">
        <f t="shared" si="13"/>
        <v>-2.2932592077831875E-2</v>
      </c>
      <c r="D174" s="1">
        <f t="shared" si="14"/>
        <v>5.2345735737891939E-4</v>
      </c>
      <c r="E174" s="1">
        <v>160</v>
      </c>
      <c r="F174" s="1">
        <f t="shared" si="10"/>
        <v>-2.2932592077831875E-2</v>
      </c>
      <c r="G174" s="1">
        <f t="shared" si="11"/>
        <v>5.2345735737891939E-4</v>
      </c>
      <c r="O174" s="10">
        <v>45764</v>
      </c>
      <c r="P174" s="11">
        <v>481.03</v>
      </c>
      <c r="Q174" s="1">
        <f t="shared" si="12"/>
        <v>2.440530698298439E-2</v>
      </c>
    </row>
    <row r="175" spans="1:17" ht="19" x14ac:dyDescent="0.25">
      <c r="A175" s="5">
        <v>45764</v>
      </c>
      <c r="B175" s="1">
        <v>171.83</v>
      </c>
      <c r="C175" s="1">
        <f t="shared" si="13"/>
        <v>1.843290659080141E-2</v>
      </c>
      <c r="D175" s="1">
        <f t="shared" si="14"/>
        <v>3.417435901552235E-4</v>
      </c>
      <c r="E175" s="1">
        <v>161</v>
      </c>
      <c r="F175" s="1">
        <f t="shared" si="10"/>
        <v>1.843290659080141E-2</v>
      </c>
      <c r="G175" s="1">
        <f t="shared" si="11"/>
        <v>3.417435901552235E-4</v>
      </c>
      <c r="O175" s="10">
        <v>45763</v>
      </c>
      <c r="P175" s="11">
        <v>480.37</v>
      </c>
      <c r="Q175" s="1">
        <f t="shared" si="12"/>
        <v>-1.3720557969356759E-3</v>
      </c>
    </row>
    <row r="176" spans="1:17" ht="19" x14ac:dyDescent="0.25">
      <c r="A176" s="5">
        <v>45763</v>
      </c>
      <c r="B176" s="1">
        <v>171.88</v>
      </c>
      <c r="C176" s="1">
        <f t="shared" si="13"/>
        <v>2.9098527614492779E-4</v>
      </c>
      <c r="D176" s="1">
        <f t="shared" si="14"/>
        <v>1.1860231356675871E-7</v>
      </c>
      <c r="E176" s="1">
        <v>162</v>
      </c>
      <c r="F176" s="1">
        <f t="shared" si="10"/>
        <v>2.9098527614492779E-4</v>
      </c>
      <c r="G176" s="1">
        <f t="shared" si="11"/>
        <v>1.1860231356675871E-7</v>
      </c>
      <c r="O176" s="10">
        <v>45762</v>
      </c>
      <c r="P176" s="11">
        <v>491.16</v>
      </c>
      <c r="Q176" s="1">
        <f t="shared" si="12"/>
        <v>2.2461852322168369E-2</v>
      </c>
    </row>
    <row r="177" spans="1:17" ht="19" x14ac:dyDescent="0.25">
      <c r="A177" s="5">
        <v>45762</v>
      </c>
      <c r="B177" s="1">
        <v>173.95</v>
      </c>
      <c r="C177" s="1">
        <f t="shared" si="13"/>
        <v>1.204328601349775E-2</v>
      </c>
      <c r="D177" s="1">
        <f t="shared" si="14"/>
        <v>1.4632985097639254E-4</v>
      </c>
      <c r="E177" s="1">
        <v>163</v>
      </c>
      <c r="F177" s="1">
        <f t="shared" si="10"/>
        <v>1.204328601349775E-2</v>
      </c>
      <c r="G177" s="1">
        <f t="shared" si="11"/>
        <v>1.4632985097639254E-4</v>
      </c>
      <c r="O177" s="10">
        <v>45761</v>
      </c>
      <c r="P177" s="11">
        <v>492.55</v>
      </c>
      <c r="Q177" s="1">
        <f t="shared" si="12"/>
        <v>2.8300350191383383E-3</v>
      </c>
    </row>
    <row r="178" spans="1:17" ht="19" x14ac:dyDescent="0.25">
      <c r="A178" s="5">
        <v>45761</v>
      </c>
      <c r="B178" s="1">
        <v>173.85</v>
      </c>
      <c r="C178" s="1">
        <f t="shared" si="13"/>
        <v>-5.7487783845929473E-4</v>
      </c>
      <c r="D178" s="1">
        <f t="shared" si="14"/>
        <v>2.7193747771681909E-7</v>
      </c>
      <c r="E178" s="1">
        <v>164</v>
      </c>
      <c r="F178" s="1">
        <f t="shared" si="10"/>
        <v>-5.7487783845929473E-4</v>
      </c>
      <c r="G178" s="1">
        <f t="shared" si="11"/>
        <v>2.7193747771681909E-7</v>
      </c>
      <c r="O178" s="10">
        <v>45758</v>
      </c>
      <c r="P178" s="11">
        <v>487.65</v>
      </c>
      <c r="Q178" s="1">
        <f t="shared" si="12"/>
        <v>-9.9482286062329388E-3</v>
      </c>
    </row>
    <row r="179" spans="1:17" ht="19" x14ac:dyDescent="0.25">
      <c r="A179" s="5">
        <v>45758</v>
      </c>
      <c r="B179" s="1">
        <v>172.77</v>
      </c>
      <c r="C179" s="1">
        <f t="shared" si="13"/>
        <v>-6.2122519413286403E-3</v>
      </c>
      <c r="D179" s="1">
        <f t="shared" si="14"/>
        <v>3.7931437650174754E-5</v>
      </c>
      <c r="E179" s="1">
        <v>165</v>
      </c>
      <c r="F179" s="1">
        <f t="shared" si="10"/>
        <v>-6.2122519413286403E-3</v>
      </c>
      <c r="G179" s="1">
        <f t="shared" si="11"/>
        <v>3.7931437650174754E-5</v>
      </c>
      <c r="O179" s="10">
        <v>45757</v>
      </c>
      <c r="P179" s="11">
        <v>479.21</v>
      </c>
      <c r="Q179" s="1">
        <f t="shared" si="12"/>
        <v>-1.7307495129703677E-2</v>
      </c>
    </row>
    <row r="180" spans="1:17" ht="19" x14ac:dyDescent="0.25">
      <c r="A180" s="5">
        <v>45757</v>
      </c>
      <c r="B180" s="1">
        <v>170.14</v>
      </c>
      <c r="C180" s="1">
        <f t="shared" si="13"/>
        <v>-1.5222550211263668E-2</v>
      </c>
      <c r="D180" s="1">
        <f t="shared" si="14"/>
        <v>2.3010306989426583E-4</v>
      </c>
      <c r="E180" s="1">
        <v>166</v>
      </c>
      <c r="F180" s="1">
        <f t="shared" si="10"/>
        <v>-1.5222550211263668E-2</v>
      </c>
      <c r="G180" s="1">
        <f t="shared" si="11"/>
        <v>2.3010306989426583E-4</v>
      </c>
      <c r="O180" s="10">
        <v>45756</v>
      </c>
      <c r="P180" s="11">
        <v>496.14</v>
      </c>
      <c r="Q180" s="1">
        <f t="shared" si="12"/>
        <v>3.5328978944512861E-2</v>
      </c>
    </row>
    <row r="181" spans="1:17" ht="19" x14ac:dyDescent="0.25">
      <c r="A181" s="5">
        <v>45756</v>
      </c>
      <c r="B181" s="1">
        <v>170.71</v>
      </c>
      <c r="C181" s="1">
        <f t="shared" si="13"/>
        <v>3.3501822028918636E-3</v>
      </c>
      <c r="D181" s="1">
        <f t="shared" si="14"/>
        <v>1.1584382635173252E-5</v>
      </c>
      <c r="E181" s="1">
        <v>167</v>
      </c>
      <c r="F181" s="1">
        <f t="shared" si="10"/>
        <v>3.3501822028918636E-3</v>
      </c>
      <c r="G181" s="1">
        <f t="shared" si="11"/>
        <v>1.1584382635173252E-5</v>
      </c>
      <c r="O181" s="10">
        <v>45755</v>
      </c>
      <c r="P181" s="11">
        <v>454.04</v>
      </c>
      <c r="Q181" s="1">
        <f t="shared" si="12"/>
        <v>-8.4855081227072943E-2</v>
      </c>
    </row>
    <row r="182" spans="1:17" ht="19" x14ac:dyDescent="0.25">
      <c r="A182" s="5">
        <v>45755</v>
      </c>
      <c r="B182" s="1">
        <v>163.54</v>
      </c>
      <c r="C182" s="1">
        <f t="shared" si="13"/>
        <v>-4.2001054419776321E-2</v>
      </c>
      <c r="D182" s="1">
        <f t="shared" si="14"/>
        <v>1.7596055779282166E-3</v>
      </c>
      <c r="E182" s="1">
        <v>168</v>
      </c>
      <c r="F182" s="1">
        <f t="shared" si="10"/>
        <v>-4.2001054419776321E-2</v>
      </c>
      <c r="G182" s="1">
        <f t="shared" si="11"/>
        <v>1.7596055779282166E-3</v>
      </c>
      <c r="O182" s="10">
        <v>45754</v>
      </c>
      <c r="P182" s="11">
        <v>460.82</v>
      </c>
      <c r="Q182" s="1">
        <f t="shared" si="12"/>
        <v>1.4932605056823126E-2</v>
      </c>
    </row>
    <row r="183" spans="1:17" ht="19" x14ac:dyDescent="0.25">
      <c r="A183" s="5">
        <v>45754</v>
      </c>
      <c r="B183" s="1">
        <v>169.36</v>
      </c>
      <c r="C183" s="1">
        <f t="shared" si="13"/>
        <v>3.5587623822918073E-2</v>
      </c>
      <c r="D183" s="1">
        <f t="shared" si="14"/>
        <v>1.2702826924836132E-3</v>
      </c>
      <c r="E183" s="1">
        <v>169</v>
      </c>
      <c r="F183" s="1">
        <f t="shared" si="10"/>
        <v>3.5587623822918073E-2</v>
      </c>
      <c r="G183" s="1">
        <f t="shared" si="11"/>
        <v>1.2702826924836132E-3</v>
      </c>
      <c r="O183" s="10">
        <v>45751</v>
      </c>
      <c r="P183" s="11">
        <v>462.76</v>
      </c>
      <c r="Q183" s="1">
        <f t="shared" si="12"/>
        <v>4.2098867236665029E-3</v>
      </c>
    </row>
    <row r="184" spans="1:17" ht="19" x14ac:dyDescent="0.25">
      <c r="A184" s="5">
        <v>45751</v>
      </c>
      <c r="B184" s="1">
        <v>172.62</v>
      </c>
      <c r="C184" s="1">
        <f t="shared" si="13"/>
        <v>1.9248937175247938E-2</v>
      </c>
      <c r="D184" s="1">
        <f t="shared" si="14"/>
        <v>3.7258028180803656E-4</v>
      </c>
      <c r="E184" s="1">
        <v>170</v>
      </c>
      <c r="F184" s="1">
        <f t="shared" si="10"/>
        <v>1.9248937175247938E-2</v>
      </c>
      <c r="G184" s="1">
        <f t="shared" si="11"/>
        <v>3.7258028180803656E-4</v>
      </c>
      <c r="O184" s="10">
        <v>45750</v>
      </c>
      <c r="P184" s="11">
        <v>491.23</v>
      </c>
      <c r="Q184" s="1">
        <f t="shared" si="12"/>
        <v>6.1522171319906706E-2</v>
      </c>
    </row>
    <row r="185" spans="1:17" ht="19" x14ac:dyDescent="0.25">
      <c r="A185" s="5">
        <v>45750</v>
      </c>
      <c r="B185" s="1">
        <v>184.6</v>
      </c>
      <c r="C185" s="1">
        <f t="shared" si="13"/>
        <v>6.9400996408295612E-2</v>
      </c>
      <c r="D185" s="1">
        <f t="shared" si="14"/>
        <v>4.8239134013043656E-3</v>
      </c>
      <c r="E185" s="1">
        <v>171</v>
      </c>
      <c r="F185" s="1">
        <f t="shared" si="10"/>
        <v>6.9400996408295612E-2</v>
      </c>
      <c r="G185" s="1">
        <f t="shared" si="11"/>
        <v>4.8239134013043656E-3</v>
      </c>
      <c r="O185" s="10">
        <v>45749</v>
      </c>
      <c r="P185" s="11">
        <v>515.84</v>
      </c>
      <c r="Q185" s="1">
        <f t="shared" si="12"/>
        <v>5.0098731754982417E-2</v>
      </c>
    </row>
    <row r="186" spans="1:17" ht="19" x14ac:dyDescent="0.25">
      <c r="A186" s="5">
        <v>45749</v>
      </c>
      <c r="B186" s="1">
        <v>184.11</v>
      </c>
      <c r="C186" s="1">
        <f t="shared" si="13"/>
        <v>-2.6543878656553666E-3</v>
      </c>
      <c r="D186" s="1">
        <f t="shared" si="14"/>
        <v>6.7651296061956526E-6</v>
      </c>
      <c r="E186" s="1">
        <v>172</v>
      </c>
      <c r="F186" s="1">
        <f t="shared" si="10"/>
        <v>-2.6543878656553666E-3</v>
      </c>
      <c r="G186" s="1">
        <f t="shared" si="11"/>
        <v>6.7651296061956526E-6</v>
      </c>
      <c r="O186" s="10">
        <v>45748</v>
      </c>
      <c r="P186" s="11">
        <v>512.75</v>
      </c>
      <c r="Q186" s="1">
        <f t="shared" si="12"/>
        <v>-5.9902295285360419E-3</v>
      </c>
    </row>
    <row r="187" spans="1:17" ht="19" x14ac:dyDescent="0.25">
      <c r="A187" s="5">
        <v>45748</v>
      </c>
      <c r="B187" s="1">
        <v>184.02</v>
      </c>
      <c r="C187" s="1">
        <f t="shared" si="13"/>
        <v>-4.8883819455761992E-4</v>
      </c>
      <c r="D187" s="1">
        <f t="shared" si="14"/>
        <v>1.8960503659671775E-7</v>
      </c>
      <c r="E187" s="1">
        <v>173</v>
      </c>
      <c r="F187" s="1">
        <f t="shared" si="10"/>
        <v>-4.8883819455761992E-4</v>
      </c>
      <c r="G187" s="1">
        <f t="shared" si="11"/>
        <v>1.8960503659671775E-7</v>
      </c>
      <c r="O187" s="10">
        <v>45747</v>
      </c>
      <c r="P187" s="11">
        <v>510.87</v>
      </c>
      <c r="Q187" s="1">
        <f t="shared" si="12"/>
        <v>-3.6665041443198353E-3</v>
      </c>
    </row>
    <row r="188" spans="1:17" ht="19" x14ac:dyDescent="0.25">
      <c r="A188" s="5">
        <v>45747</v>
      </c>
      <c r="B188" s="1">
        <v>182.6</v>
      </c>
      <c r="C188" s="1">
        <f t="shared" si="13"/>
        <v>-7.7165525486361042E-3</v>
      </c>
      <c r="D188" s="1">
        <f t="shared" si="14"/>
        <v>5.8723882614987085E-5</v>
      </c>
      <c r="E188" s="1">
        <v>174</v>
      </c>
      <c r="F188" s="1">
        <f t="shared" si="10"/>
        <v>-7.7165525486361042E-3</v>
      </c>
      <c r="G188" s="1">
        <f t="shared" si="11"/>
        <v>5.8723882614987085E-5</v>
      </c>
      <c r="O188" s="10">
        <v>45744</v>
      </c>
      <c r="P188" s="11">
        <v>507.78</v>
      </c>
      <c r="Q188" s="1">
        <f t="shared" si="12"/>
        <v>-6.0485054906336874E-3</v>
      </c>
    </row>
    <row r="189" spans="1:17" ht="19" x14ac:dyDescent="0.25">
      <c r="A189" s="5">
        <v>45744</v>
      </c>
      <c r="B189" s="1">
        <v>178.59</v>
      </c>
      <c r="C189" s="1">
        <f t="shared" si="13"/>
        <v>-2.1960569550930946E-2</v>
      </c>
      <c r="D189" s="1">
        <f t="shared" si="14"/>
        <v>4.7992400806884421E-4</v>
      </c>
      <c r="E189" s="1">
        <v>175</v>
      </c>
      <c r="F189" s="1">
        <f t="shared" si="10"/>
        <v>-2.1960569550930946E-2</v>
      </c>
      <c r="G189" s="1">
        <f t="shared" si="11"/>
        <v>4.7992400806884421E-4</v>
      </c>
      <c r="O189" s="10">
        <v>45743</v>
      </c>
      <c r="P189" s="11">
        <v>518.12</v>
      </c>
      <c r="Q189" s="1">
        <f t="shared" si="12"/>
        <v>2.0363149395407523E-2</v>
      </c>
    </row>
    <row r="190" spans="1:17" ht="19" x14ac:dyDescent="0.25">
      <c r="A190" s="5">
        <v>45743</v>
      </c>
      <c r="B190" s="1">
        <v>179.32</v>
      </c>
      <c r="C190" s="1">
        <f t="shared" si="13"/>
        <v>4.0875748922111522E-3</v>
      </c>
      <c r="D190" s="1">
        <f t="shared" si="14"/>
        <v>1.714768622614931E-5</v>
      </c>
      <c r="E190" s="1">
        <v>176</v>
      </c>
      <c r="F190" s="1">
        <f t="shared" si="10"/>
        <v>4.0875748922111522E-3</v>
      </c>
      <c r="G190" s="1">
        <f t="shared" si="11"/>
        <v>1.714768622614931E-5</v>
      </c>
      <c r="O190" s="10">
        <v>45742</v>
      </c>
      <c r="P190" s="11">
        <v>519.54999999999995</v>
      </c>
      <c r="Q190" s="1">
        <f t="shared" si="12"/>
        <v>2.7599783833859915E-3</v>
      </c>
    </row>
    <row r="191" spans="1:17" ht="19" x14ac:dyDescent="0.25">
      <c r="A191" s="5">
        <v>45742</v>
      </c>
      <c r="B191" s="1">
        <v>179.39</v>
      </c>
      <c r="C191" s="1">
        <f t="shared" si="13"/>
        <v>3.9036359580634162E-4</v>
      </c>
      <c r="D191" s="1">
        <f t="shared" si="14"/>
        <v>1.9692754012553428E-7</v>
      </c>
      <c r="E191" s="1">
        <v>177</v>
      </c>
      <c r="F191" s="1">
        <f t="shared" si="10"/>
        <v>3.9036359580634162E-4</v>
      </c>
      <c r="G191" s="1">
        <f t="shared" si="11"/>
        <v>1.9692754012553428E-7</v>
      </c>
      <c r="O191" s="10">
        <v>45741</v>
      </c>
      <c r="P191" s="11">
        <v>525.69000000000005</v>
      </c>
      <c r="Q191" s="1">
        <f t="shared" si="12"/>
        <v>1.1817919353286691E-2</v>
      </c>
    </row>
    <row r="192" spans="1:17" ht="19" x14ac:dyDescent="0.25">
      <c r="A192" s="5">
        <v>45741</v>
      </c>
      <c r="B192" s="1">
        <v>174.78</v>
      </c>
      <c r="C192" s="1">
        <f t="shared" si="13"/>
        <v>-2.5698199453704138E-2</v>
      </c>
      <c r="D192" s="1">
        <f t="shared" si="14"/>
        <v>6.5765565747071832E-4</v>
      </c>
      <c r="E192" s="1">
        <v>178</v>
      </c>
      <c r="F192" s="1">
        <f t="shared" si="10"/>
        <v>-2.5698199453704138E-2</v>
      </c>
      <c r="G192" s="1">
        <f t="shared" si="11"/>
        <v>6.5765565747071832E-4</v>
      </c>
      <c r="O192" s="10">
        <v>45740</v>
      </c>
      <c r="P192" s="11">
        <v>524.44000000000005</v>
      </c>
      <c r="Q192" s="1">
        <f t="shared" si="12"/>
        <v>-2.3778272365842985E-3</v>
      </c>
    </row>
    <row r="193" spans="1:17" ht="19" x14ac:dyDescent="0.25">
      <c r="A193" s="5">
        <v>45740</v>
      </c>
      <c r="B193" s="1">
        <v>172.82</v>
      </c>
      <c r="C193" s="1">
        <f t="shared" si="13"/>
        <v>-1.121409772285163E-2</v>
      </c>
      <c r="D193" s="1">
        <f t="shared" si="14"/>
        <v>1.2456113817005564E-4</v>
      </c>
      <c r="E193" s="1">
        <v>179</v>
      </c>
      <c r="F193" s="1">
        <f t="shared" si="10"/>
        <v>-1.121409772285163E-2</v>
      </c>
      <c r="G193" s="1">
        <f t="shared" si="11"/>
        <v>1.2456113817005564E-4</v>
      </c>
      <c r="O193" s="10">
        <v>45737</v>
      </c>
      <c r="P193" s="11">
        <v>515.39</v>
      </c>
      <c r="Q193" s="1">
        <f t="shared" si="12"/>
        <v>-1.7256502173747364E-2</v>
      </c>
    </row>
    <row r="194" spans="1:17" ht="19" x14ac:dyDescent="0.25">
      <c r="A194" s="5">
        <v>45737</v>
      </c>
      <c r="B194" s="1">
        <v>173.05</v>
      </c>
      <c r="C194" s="1">
        <f t="shared" si="13"/>
        <v>1.3308644832775037E-3</v>
      </c>
      <c r="D194" s="1">
        <f t="shared" si="14"/>
        <v>1.9161925616015323E-6</v>
      </c>
      <c r="E194" s="1">
        <v>180</v>
      </c>
      <c r="F194" s="1">
        <f t="shared" si="10"/>
        <v>1.3308644832775037E-3</v>
      </c>
      <c r="G194" s="1">
        <f t="shared" si="11"/>
        <v>1.9161925616015323E-6</v>
      </c>
      <c r="O194" s="10">
        <v>45736</v>
      </c>
      <c r="P194" s="11">
        <v>515.26</v>
      </c>
      <c r="Q194" s="1">
        <f t="shared" si="12"/>
        <v>-2.5223617066686484E-4</v>
      </c>
    </row>
    <row r="195" spans="1:17" ht="19" x14ac:dyDescent="0.25">
      <c r="A195" s="5">
        <v>45736</v>
      </c>
      <c r="B195" s="1">
        <v>175.3</v>
      </c>
      <c r="C195" s="1">
        <f t="shared" si="13"/>
        <v>1.3002022536839063E-2</v>
      </c>
      <c r="D195" s="1">
        <f t="shared" si="14"/>
        <v>1.7044409913141018E-4</v>
      </c>
      <c r="E195" s="1">
        <v>181</v>
      </c>
      <c r="F195" s="1">
        <f t="shared" si="10"/>
        <v>1.3002022536839063E-2</v>
      </c>
      <c r="G195" s="1">
        <f t="shared" si="11"/>
        <v>1.7044409913141018E-4</v>
      </c>
      <c r="O195" s="10">
        <v>45735</v>
      </c>
      <c r="P195" s="11">
        <v>516.45000000000005</v>
      </c>
      <c r="Q195" s="1">
        <f t="shared" si="12"/>
        <v>2.309513643597513E-3</v>
      </c>
    </row>
    <row r="196" spans="1:17" ht="19" x14ac:dyDescent="0.25">
      <c r="A196" s="5">
        <v>45735</v>
      </c>
      <c r="B196" s="1">
        <v>177.17</v>
      </c>
      <c r="C196" s="1">
        <f t="shared" si="13"/>
        <v>1.066742726754122E-2</v>
      </c>
      <c r="D196" s="1">
        <f t="shared" si="14"/>
        <v>1.1493617139249041E-4</v>
      </c>
      <c r="E196" s="1">
        <v>182</v>
      </c>
      <c r="F196" s="1">
        <f t="shared" si="10"/>
        <v>1.066742726754122E-2</v>
      </c>
      <c r="G196" s="1">
        <f t="shared" si="11"/>
        <v>1.1493617139249041E-4</v>
      </c>
      <c r="O196" s="10">
        <v>45734</v>
      </c>
      <c r="P196" s="11">
        <v>511.08</v>
      </c>
      <c r="Q196" s="1">
        <f t="shared" si="12"/>
        <v>-1.0397908800464829E-2</v>
      </c>
    </row>
    <row r="197" spans="1:17" ht="19" x14ac:dyDescent="0.25">
      <c r="A197" s="5">
        <v>45734</v>
      </c>
      <c r="B197" s="1">
        <v>176.7</v>
      </c>
      <c r="C197" s="1">
        <f t="shared" si="13"/>
        <v>-2.652819326070999E-3</v>
      </c>
      <c r="D197" s="1">
        <f t="shared" si="14"/>
        <v>6.7569725666485262E-6</v>
      </c>
      <c r="E197" s="1">
        <v>183</v>
      </c>
      <c r="F197" s="1">
        <f t="shared" si="10"/>
        <v>-2.652819326070999E-3</v>
      </c>
      <c r="G197" s="1">
        <f t="shared" si="11"/>
        <v>6.7569725666485262E-6</v>
      </c>
      <c r="O197" s="10">
        <v>45733</v>
      </c>
      <c r="P197" s="11">
        <v>516.53</v>
      </c>
      <c r="Q197" s="1">
        <f t="shared" si="12"/>
        <v>1.0663692572591353E-2</v>
      </c>
    </row>
    <row r="198" spans="1:17" ht="19" x14ac:dyDescent="0.25">
      <c r="A198" s="5">
        <v>45733</v>
      </c>
      <c r="B198" s="1">
        <v>177.19</v>
      </c>
      <c r="C198" s="1">
        <f t="shared" si="13"/>
        <v>2.7730616864743017E-3</v>
      </c>
      <c r="D198" s="1">
        <f t="shared" si="14"/>
        <v>7.9888946532055993E-6</v>
      </c>
      <c r="E198" s="1">
        <v>184</v>
      </c>
      <c r="F198" s="1">
        <f t="shared" si="10"/>
        <v>2.7730616864743017E-3</v>
      </c>
      <c r="G198" s="1">
        <f t="shared" si="11"/>
        <v>7.9888946532055993E-6</v>
      </c>
      <c r="O198" s="10">
        <v>45730</v>
      </c>
      <c r="P198" s="11">
        <v>512.62</v>
      </c>
      <c r="Q198" s="1">
        <f t="shared" si="12"/>
        <v>-7.5697442549318887E-3</v>
      </c>
    </row>
    <row r="199" spans="1:17" ht="19" x14ac:dyDescent="0.25">
      <c r="A199" s="5">
        <v>45730</v>
      </c>
      <c r="B199" s="1">
        <v>175.83</v>
      </c>
      <c r="C199" s="1">
        <f t="shared" si="13"/>
        <v>-7.6753767142614436E-3</v>
      </c>
      <c r="D199" s="1">
        <f t="shared" si="14"/>
        <v>5.8094504795001131E-5</v>
      </c>
      <c r="E199" s="1">
        <v>185</v>
      </c>
      <c r="F199" s="1">
        <f t="shared" si="10"/>
        <v>-7.6753767142614436E-3</v>
      </c>
      <c r="G199" s="1">
        <f t="shared" si="11"/>
        <v>5.8094504795001131E-5</v>
      </c>
      <c r="O199" s="10">
        <v>45729</v>
      </c>
      <c r="P199" s="11">
        <v>502.31</v>
      </c>
      <c r="Q199" s="1">
        <f t="shared" si="12"/>
        <v>-2.0112363934298313E-2</v>
      </c>
    </row>
    <row r="200" spans="1:17" ht="19" x14ac:dyDescent="0.25">
      <c r="A200" s="5">
        <v>45729</v>
      </c>
      <c r="B200" s="1">
        <v>175.32</v>
      </c>
      <c r="C200" s="1">
        <f t="shared" si="13"/>
        <v>-2.9005289199796353E-3</v>
      </c>
      <c r="D200" s="1">
        <f t="shared" si="14"/>
        <v>8.1061340331695949E-6</v>
      </c>
      <c r="E200" s="1">
        <v>186</v>
      </c>
      <c r="F200" s="1">
        <f t="shared" si="10"/>
        <v>-2.9005289199796353E-3</v>
      </c>
      <c r="G200" s="1">
        <f t="shared" si="11"/>
        <v>8.1061340331695949E-6</v>
      </c>
      <c r="O200" s="10">
        <v>45728</v>
      </c>
      <c r="P200" s="11">
        <v>508.95</v>
      </c>
      <c r="Q200" s="1">
        <f t="shared" si="12"/>
        <v>1.3218928550098517E-2</v>
      </c>
    </row>
    <row r="201" spans="1:17" ht="19" x14ac:dyDescent="0.25">
      <c r="A201" s="5">
        <v>45728</v>
      </c>
      <c r="B201" s="1">
        <v>173.14</v>
      </c>
      <c r="C201" s="1">
        <f t="shared" si="13"/>
        <v>-1.2434405658225E-2</v>
      </c>
      <c r="D201" s="1">
        <f t="shared" si="14"/>
        <v>1.5328926173763284E-4</v>
      </c>
      <c r="E201" s="1">
        <v>187</v>
      </c>
      <c r="F201" s="1">
        <f t="shared" si="10"/>
        <v>-1.2434405658225E-2</v>
      </c>
      <c r="G201" s="1">
        <f t="shared" si="11"/>
        <v>1.5328926173763284E-4</v>
      </c>
      <c r="O201" s="10">
        <v>45727</v>
      </c>
      <c r="P201" s="11">
        <v>506.5</v>
      </c>
      <c r="Q201" s="1">
        <f t="shared" si="12"/>
        <v>-4.8138324000392739E-3</v>
      </c>
    </row>
    <row r="202" spans="1:17" ht="19" x14ac:dyDescent="0.25">
      <c r="A202" s="5">
        <v>45727</v>
      </c>
      <c r="B202" s="1">
        <v>176.69</v>
      </c>
      <c r="C202" s="1">
        <f t="shared" si="13"/>
        <v>2.0503638673905578E-2</v>
      </c>
      <c r="D202" s="1">
        <f t="shared" si="14"/>
        <v>4.2259190441145523E-4</v>
      </c>
      <c r="E202" s="1">
        <v>188</v>
      </c>
      <c r="F202" s="1">
        <f t="shared" si="10"/>
        <v>2.0503638673905578E-2</v>
      </c>
      <c r="G202" s="1">
        <f t="shared" si="11"/>
        <v>4.2259190441145523E-4</v>
      </c>
      <c r="O202" s="10">
        <v>45726</v>
      </c>
      <c r="P202" s="11">
        <v>510.69</v>
      </c>
      <c r="Q202" s="1">
        <f t="shared" si="12"/>
        <v>8.272458045409669E-3</v>
      </c>
    </row>
    <row r="203" spans="1:17" ht="19" x14ac:dyDescent="0.25">
      <c r="A203" s="5">
        <v>45726</v>
      </c>
      <c r="B203" s="1">
        <v>190.15</v>
      </c>
      <c r="C203" s="1">
        <f t="shared" si="13"/>
        <v>7.6178617918388189E-2</v>
      </c>
      <c r="D203" s="1">
        <f t="shared" si="14"/>
        <v>5.8113207983258681E-3</v>
      </c>
      <c r="E203" s="1">
        <v>189</v>
      </c>
      <c r="F203" s="1">
        <f t="shared" si="10"/>
        <v>7.6178617918388189E-2</v>
      </c>
      <c r="G203" s="1">
        <f t="shared" si="11"/>
        <v>5.8113207983258681E-3</v>
      </c>
      <c r="O203" s="10">
        <v>45723</v>
      </c>
      <c r="P203" s="11">
        <v>524.55999999999995</v>
      </c>
      <c r="Q203" s="1">
        <f t="shared" si="12"/>
        <v>2.7159333450821336E-2</v>
      </c>
    </row>
    <row r="204" spans="1:17" ht="19" x14ac:dyDescent="0.25">
      <c r="A204" s="5">
        <v>45723</v>
      </c>
      <c r="B204" s="1">
        <v>191.28</v>
      </c>
      <c r="C204" s="1">
        <f t="shared" si="13"/>
        <v>5.9426768340783351E-3</v>
      </c>
      <c r="D204" s="1">
        <f t="shared" si="14"/>
        <v>3.5952956467586899E-5</v>
      </c>
      <c r="E204" s="1">
        <v>190</v>
      </c>
      <c r="F204" s="1">
        <f t="shared" si="10"/>
        <v>5.9426768340783351E-3</v>
      </c>
      <c r="G204" s="1">
        <f t="shared" si="11"/>
        <v>3.5952956467586899E-5</v>
      </c>
      <c r="O204" s="10">
        <v>45722</v>
      </c>
      <c r="P204" s="11">
        <v>521.74</v>
      </c>
      <c r="Q204" s="1">
        <f t="shared" si="12"/>
        <v>-5.375934116211561E-3</v>
      </c>
    </row>
    <row r="205" spans="1:17" ht="19" x14ac:dyDescent="0.25">
      <c r="A205" s="5">
        <v>45722</v>
      </c>
      <c r="B205" s="1">
        <v>183.51</v>
      </c>
      <c r="C205" s="1">
        <f t="shared" si="13"/>
        <v>-4.0621079046424147E-2</v>
      </c>
      <c r="D205" s="1">
        <f t="shared" si="14"/>
        <v>1.6457364542092137E-3</v>
      </c>
      <c r="E205" s="1">
        <v>191</v>
      </c>
      <c r="F205" s="1">
        <f t="shared" si="10"/>
        <v>-4.0621079046424147E-2</v>
      </c>
      <c r="G205" s="1">
        <f t="shared" si="11"/>
        <v>1.6457364542092137E-3</v>
      </c>
      <c r="O205" s="10">
        <v>45721</v>
      </c>
      <c r="P205" s="11">
        <v>531.38</v>
      </c>
      <c r="Q205" s="1">
        <f t="shared" si="12"/>
        <v>1.8476635872273519E-2</v>
      </c>
    </row>
    <row r="206" spans="1:17" ht="19" x14ac:dyDescent="0.25">
      <c r="A206" s="5">
        <v>45721</v>
      </c>
      <c r="B206" s="1">
        <v>177.63</v>
      </c>
      <c r="C206" s="1">
        <f t="shared" si="13"/>
        <v>-3.204185058034982E-2</v>
      </c>
      <c r="D206" s="1">
        <f t="shared" si="14"/>
        <v>1.0232608688088036E-3</v>
      </c>
      <c r="E206" s="1">
        <v>192</v>
      </c>
      <c r="F206" s="1">
        <f t="shared" si="10"/>
        <v>-3.204185058034982E-2</v>
      </c>
      <c r="G206" s="1">
        <f t="shared" si="11"/>
        <v>1.0232608688088036E-3</v>
      </c>
      <c r="O206" s="10">
        <v>45720</v>
      </c>
      <c r="P206" s="11">
        <v>525.49</v>
      </c>
      <c r="Q206" s="1">
        <f t="shared" si="12"/>
        <v>-1.1084346418758679E-2</v>
      </c>
    </row>
    <row r="207" spans="1:17" ht="19" x14ac:dyDescent="0.25">
      <c r="A207" s="5">
        <v>45720</v>
      </c>
      <c r="B207" s="1">
        <v>177.02</v>
      </c>
      <c r="C207" s="1">
        <f t="shared" si="13"/>
        <v>-3.4341045994482084E-3</v>
      </c>
      <c r="D207" s="1">
        <f t="shared" si="14"/>
        <v>1.1429152838154662E-5</v>
      </c>
      <c r="E207" s="1">
        <v>193</v>
      </c>
      <c r="F207" s="1">
        <f t="shared" si="10"/>
        <v>-3.4341045994482084E-3</v>
      </c>
      <c r="G207" s="1">
        <f t="shared" si="11"/>
        <v>1.1429152838154662E-5</v>
      </c>
      <c r="O207" s="10">
        <v>45719</v>
      </c>
      <c r="P207" s="11">
        <v>531.9</v>
      </c>
      <c r="Q207" s="1">
        <f t="shared" si="12"/>
        <v>1.2198138879902506E-2</v>
      </c>
    </row>
    <row r="208" spans="1:17" ht="19" x14ac:dyDescent="0.25">
      <c r="A208" s="5">
        <v>45719</v>
      </c>
      <c r="B208" s="1">
        <v>178</v>
      </c>
      <c r="C208" s="1">
        <f t="shared" si="13"/>
        <v>5.5360976160885199E-3</v>
      </c>
      <c r="D208" s="1">
        <f t="shared" si="14"/>
        <v>3.1242501374760878E-5</v>
      </c>
      <c r="E208" s="1">
        <v>194</v>
      </c>
      <c r="F208" s="1">
        <f t="shared" ref="F208:F264" si="15">IF(E208&lt;$B$5,C208,"")</f>
        <v>5.5360976160885199E-3</v>
      </c>
      <c r="G208" s="1">
        <f t="shared" ref="G208:G264" si="16">IF(E208&lt;=$B$5,D208,"")</f>
        <v>3.1242501374760878E-5</v>
      </c>
      <c r="O208" s="10">
        <v>45716</v>
      </c>
      <c r="P208" s="11">
        <v>541.22</v>
      </c>
      <c r="Q208" s="1">
        <f t="shared" ref="Q208:Q263" si="17">(P208-P207)/P207</f>
        <v>1.7522090618537413E-2</v>
      </c>
    </row>
    <row r="209" spans="1:17" ht="19" x14ac:dyDescent="0.25">
      <c r="A209" s="5">
        <v>45716</v>
      </c>
      <c r="B209" s="1">
        <v>173.59</v>
      </c>
      <c r="C209" s="1">
        <f t="shared" ref="C209:C264" si="18">(B209-B208)/B208</f>
        <v>-2.4775280898876387E-2</v>
      </c>
      <c r="D209" s="1">
        <f t="shared" ref="D209:D264" si="19">(C209-$B$7)^2</f>
        <v>6.111713165631073E-4</v>
      </c>
      <c r="E209" s="1">
        <v>195</v>
      </c>
      <c r="F209" s="1">
        <f t="shared" si="15"/>
        <v>-2.4775280898876387E-2</v>
      </c>
      <c r="G209" s="1">
        <f t="shared" si="16"/>
        <v>6.111713165631073E-4</v>
      </c>
      <c r="O209" s="10">
        <v>45715</v>
      </c>
      <c r="P209" s="11">
        <v>532.94000000000005</v>
      </c>
      <c r="Q209" s="1">
        <f t="shared" si="17"/>
        <v>-1.5298769446805315E-2</v>
      </c>
    </row>
    <row r="210" spans="1:17" ht="19" x14ac:dyDescent="0.25">
      <c r="A210" s="5">
        <v>45715</v>
      </c>
      <c r="B210" s="1">
        <v>171.87</v>
      </c>
      <c r="C210" s="1">
        <f t="shared" si="18"/>
        <v>-9.9084048620312164E-3</v>
      </c>
      <c r="D210" s="1">
        <f t="shared" si="19"/>
        <v>9.7121089491928158E-5</v>
      </c>
      <c r="E210" s="1">
        <v>196</v>
      </c>
      <c r="F210" s="1">
        <f t="shared" si="15"/>
        <v>-9.9084048620312164E-3</v>
      </c>
      <c r="G210" s="1">
        <f t="shared" si="16"/>
        <v>9.7121089491928158E-5</v>
      </c>
      <c r="O210" s="10">
        <v>45714</v>
      </c>
      <c r="P210" s="11">
        <v>541.63</v>
      </c>
      <c r="Q210" s="1">
        <f t="shared" si="17"/>
        <v>1.6305775509438097E-2</v>
      </c>
    </row>
    <row r="211" spans="1:17" ht="19" x14ac:dyDescent="0.25">
      <c r="A211" s="5">
        <v>45714</v>
      </c>
      <c r="B211" s="1">
        <v>171.76</v>
      </c>
      <c r="C211" s="1">
        <f t="shared" si="18"/>
        <v>-6.4001861872353314E-4</v>
      </c>
      <c r="D211" s="1">
        <f t="shared" si="19"/>
        <v>3.4411953839926958E-7</v>
      </c>
      <c r="E211" s="1">
        <v>197</v>
      </c>
      <c r="F211" s="1">
        <f t="shared" si="15"/>
        <v>-6.4001861872353314E-4</v>
      </c>
      <c r="G211" s="1">
        <f t="shared" si="16"/>
        <v>3.4411953839926958E-7</v>
      </c>
      <c r="O211" s="10">
        <v>45713</v>
      </c>
      <c r="P211" s="11">
        <v>541.29999999999995</v>
      </c>
      <c r="Q211" s="1">
        <f t="shared" si="17"/>
        <v>-6.0927201225936692E-4</v>
      </c>
    </row>
    <row r="212" spans="1:17" ht="19" x14ac:dyDescent="0.25">
      <c r="A212" s="5">
        <v>45713</v>
      </c>
      <c r="B212" s="1">
        <v>174.05</v>
      </c>
      <c r="C212" s="1">
        <f t="shared" si="18"/>
        <v>1.3332557056357828E-2</v>
      </c>
      <c r="D212" s="1">
        <f t="shared" si="19"/>
        <v>1.7918388888175447E-4</v>
      </c>
      <c r="E212" s="1">
        <v>198</v>
      </c>
      <c r="F212" s="1">
        <f t="shared" si="15"/>
        <v>1.3332557056357828E-2</v>
      </c>
      <c r="G212" s="1">
        <f t="shared" si="16"/>
        <v>1.7918388888175447E-4</v>
      </c>
      <c r="O212" s="10">
        <v>45712</v>
      </c>
      <c r="P212" s="11">
        <v>544</v>
      </c>
      <c r="Q212" s="1">
        <f t="shared" si="17"/>
        <v>4.9879918714207383E-3</v>
      </c>
    </row>
    <row r="213" spans="1:17" ht="19" x14ac:dyDescent="0.25">
      <c r="A213" s="5">
        <v>45712</v>
      </c>
      <c r="B213" s="1">
        <v>172.61</v>
      </c>
      <c r="C213" s="1">
        <f t="shared" si="18"/>
        <v>-8.2734846308531902E-3</v>
      </c>
      <c r="D213" s="1">
        <f t="shared" si="19"/>
        <v>6.7569765198674175E-5</v>
      </c>
      <c r="E213" s="1">
        <v>199</v>
      </c>
      <c r="F213" s="1">
        <f t="shared" si="15"/>
        <v>-8.2734846308531902E-3</v>
      </c>
      <c r="G213" s="1">
        <f t="shared" si="16"/>
        <v>6.7569765198674175E-5</v>
      </c>
      <c r="O213" s="10">
        <v>45709</v>
      </c>
      <c r="P213" s="11">
        <v>546.59</v>
      </c>
      <c r="Q213" s="1">
        <f t="shared" si="17"/>
        <v>4.7610294117647646E-3</v>
      </c>
    </row>
    <row r="214" spans="1:17" ht="19" x14ac:dyDescent="0.25">
      <c r="A214" s="5">
        <v>45709</v>
      </c>
      <c r="B214" s="1">
        <v>171.13</v>
      </c>
      <c r="C214" s="1">
        <f t="shared" si="18"/>
        <v>-8.5742425120214245E-3</v>
      </c>
      <c r="D214" s="1">
        <f t="shared" si="19"/>
        <v>7.2604730018552429E-5</v>
      </c>
      <c r="E214" s="1">
        <v>200</v>
      </c>
      <c r="F214" s="1">
        <f t="shared" si="15"/>
        <v>-8.5742425120214245E-3</v>
      </c>
      <c r="G214" s="1">
        <f t="shared" si="16"/>
        <v>7.2604730018552429E-5</v>
      </c>
      <c r="O214" s="10">
        <v>45708</v>
      </c>
      <c r="P214" s="11">
        <v>556.04999999999995</v>
      </c>
      <c r="Q214" s="1">
        <f t="shared" si="17"/>
        <v>1.7307305292815312E-2</v>
      </c>
    </row>
    <row r="215" spans="1:17" ht="19" x14ac:dyDescent="0.25">
      <c r="A215" s="5">
        <v>45708</v>
      </c>
      <c r="B215" s="1">
        <v>168.7</v>
      </c>
      <c r="C215" s="1">
        <f t="shared" si="18"/>
        <v>-1.4199731198504102E-2</v>
      </c>
      <c r="D215" s="1">
        <f t="shared" si="19"/>
        <v>2.0011864139270132E-4</v>
      </c>
      <c r="E215" s="1">
        <v>201</v>
      </c>
      <c r="F215" s="1">
        <f t="shared" si="15"/>
        <v>-1.4199731198504102E-2</v>
      </c>
      <c r="G215" s="1">
        <f t="shared" si="16"/>
        <v>2.0011864139270132E-4</v>
      </c>
      <c r="O215" s="10">
        <v>45707</v>
      </c>
      <c r="P215" s="11">
        <v>558.4</v>
      </c>
      <c r="Q215" s="1">
        <f t="shared" si="17"/>
        <v>4.226238647603674E-3</v>
      </c>
    </row>
    <row r="216" spans="1:17" ht="19" x14ac:dyDescent="0.25">
      <c r="A216" s="5">
        <v>45707</v>
      </c>
      <c r="B216" s="1">
        <v>167.36</v>
      </c>
      <c r="C216" s="1">
        <f t="shared" si="18"/>
        <v>-7.9430942501480441E-3</v>
      </c>
      <c r="D216" s="1">
        <f t="shared" si="19"/>
        <v>6.2247250271739763E-5</v>
      </c>
      <c r="E216" s="1">
        <v>202</v>
      </c>
      <c r="F216" s="1">
        <f t="shared" si="15"/>
        <v>-7.9430942501480441E-3</v>
      </c>
      <c r="G216" s="1">
        <f t="shared" si="16"/>
        <v>6.2247250271739763E-5</v>
      </c>
      <c r="O216" s="10">
        <v>45706</v>
      </c>
      <c r="P216" s="11">
        <v>557.04999999999995</v>
      </c>
      <c r="Q216" s="1">
        <f t="shared" si="17"/>
        <v>-2.4176217765043387E-3</v>
      </c>
    </row>
    <row r="217" spans="1:17" ht="19" x14ac:dyDescent="0.25">
      <c r="A217" s="5">
        <v>45706</v>
      </c>
      <c r="B217" s="1">
        <v>167.8</v>
      </c>
      <c r="C217" s="1">
        <f t="shared" si="18"/>
        <v>2.6290630975143265E-3</v>
      </c>
      <c r="D217" s="1">
        <f t="shared" si="19"/>
        <v>7.1956167997117498E-6</v>
      </c>
      <c r="E217" s="1">
        <v>203</v>
      </c>
      <c r="F217" s="1">
        <f t="shared" si="15"/>
        <v>2.6290630975143265E-3</v>
      </c>
      <c r="G217" s="1">
        <f t="shared" si="16"/>
        <v>7.1956167997117498E-6</v>
      </c>
      <c r="O217" s="10">
        <v>45702</v>
      </c>
      <c r="P217" s="11">
        <v>555.44000000000005</v>
      </c>
      <c r="Q217" s="1">
        <f t="shared" si="17"/>
        <v>-2.8902252939590704E-3</v>
      </c>
    </row>
    <row r="218" spans="1:17" ht="19" x14ac:dyDescent="0.25">
      <c r="A218" s="5">
        <v>45702</v>
      </c>
      <c r="B218" s="1">
        <v>166.47</v>
      </c>
      <c r="C218" s="1">
        <f t="shared" si="18"/>
        <v>-7.9261025029798114E-3</v>
      </c>
      <c r="D218" s="1">
        <f t="shared" si="19"/>
        <v>6.1979419665378685E-5</v>
      </c>
      <c r="E218" s="1">
        <v>204</v>
      </c>
      <c r="F218" s="1">
        <f t="shared" si="15"/>
        <v>-7.9261025029798114E-3</v>
      </c>
      <c r="G218" s="1">
        <f t="shared" si="16"/>
        <v>6.1979419665378685E-5</v>
      </c>
      <c r="O218" s="10">
        <v>45701</v>
      </c>
      <c r="P218" s="11">
        <v>555.41999999999996</v>
      </c>
      <c r="Q218" s="1">
        <f t="shared" si="17"/>
        <v>-3.6007489557999956E-5</v>
      </c>
    </row>
    <row r="219" spans="1:17" ht="19" x14ac:dyDescent="0.25">
      <c r="A219" s="5">
        <v>45701</v>
      </c>
      <c r="B219" s="1">
        <v>170.47</v>
      </c>
      <c r="C219" s="1">
        <f t="shared" si="18"/>
        <v>2.4028353457079352E-2</v>
      </c>
      <c r="D219" s="1">
        <f t="shared" si="19"/>
        <v>5.7993092614708674E-4</v>
      </c>
      <c r="E219" s="1">
        <v>205</v>
      </c>
      <c r="F219" s="1">
        <f t="shared" si="15"/>
        <v>2.4028353457079352E-2</v>
      </c>
      <c r="G219" s="1">
        <f t="shared" si="16"/>
        <v>5.7993092614708674E-4</v>
      </c>
      <c r="O219" s="10">
        <v>45700</v>
      </c>
      <c r="P219" s="11">
        <v>549.62</v>
      </c>
      <c r="Q219" s="1">
        <f t="shared" si="17"/>
        <v>-1.0442547981707455E-2</v>
      </c>
    </row>
    <row r="220" spans="1:17" ht="19" x14ac:dyDescent="0.25">
      <c r="A220" s="5">
        <v>45700</v>
      </c>
      <c r="B220" s="1">
        <v>170.19</v>
      </c>
      <c r="C220" s="1">
        <f t="shared" si="18"/>
        <v>-1.6425177450577881E-3</v>
      </c>
      <c r="D220" s="1">
        <f t="shared" si="19"/>
        <v>2.5252901542950214E-6</v>
      </c>
      <c r="E220" s="1">
        <v>206</v>
      </c>
      <c r="F220" s="1">
        <f t="shared" si="15"/>
        <v>-1.6425177450577881E-3</v>
      </c>
      <c r="G220" s="1">
        <f t="shared" si="16"/>
        <v>2.5252901542950214E-6</v>
      </c>
      <c r="O220" s="10">
        <v>45699</v>
      </c>
      <c r="P220" s="11">
        <v>551.44000000000005</v>
      </c>
      <c r="Q220" s="1">
        <f t="shared" si="17"/>
        <v>3.3113787707871804E-3</v>
      </c>
    </row>
    <row r="221" spans="1:17" ht="19" x14ac:dyDescent="0.25">
      <c r="A221" s="5">
        <v>45699</v>
      </c>
      <c r="B221" s="1">
        <v>170.97</v>
      </c>
      <c r="C221" s="1">
        <f t="shared" si="18"/>
        <v>4.5831129913626017E-3</v>
      </c>
      <c r="D221" s="1">
        <f t="shared" si="19"/>
        <v>2.1497267463102323E-5</v>
      </c>
      <c r="E221" s="1">
        <v>207</v>
      </c>
      <c r="F221" s="1">
        <f t="shared" si="15"/>
        <v>4.5831129913626017E-3</v>
      </c>
      <c r="G221" s="1">
        <f t="shared" si="16"/>
        <v>2.1497267463102323E-5</v>
      </c>
      <c r="O221" s="10">
        <v>45698</v>
      </c>
      <c r="P221" s="11">
        <v>550.95000000000005</v>
      </c>
      <c r="Q221" s="1">
        <f t="shared" si="17"/>
        <v>-8.885826200493418E-4</v>
      </c>
    </row>
    <row r="222" spans="1:17" ht="19" x14ac:dyDescent="0.25">
      <c r="A222" s="5">
        <v>45698</v>
      </c>
      <c r="B222" s="1">
        <v>173.66</v>
      </c>
      <c r="C222" s="1">
        <f t="shared" si="18"/>
        <v>1.5733754459846743E-2</v>
      </c>
      <c r="D222" s="1">
        <f t="shared" si="19"/>
        <v>2.4923429614192086E-4</v>
      </c>
      <c r="E222" s="1">
        <v>208</v>
      </c>
      <c r="F222" s="1">
        <f t="shared" si="15"/>
        <v>1.5733754459846743E-2</v>
      </c>
      <c r="G222" s="1">
        <f t="shared" si="16"/>
        <v>2.4923429614192086E-4</v>
      </c>
      <c r="O222" s="10">
        <v>45695</v>
      </c>
      <c r="P222" s="11">
        <v>547.03</v>
      </c>
      <c r="Q222" s="1">
        <f t="shared" si="17"/>
        <v>-7.1149832108178103E-3</v>
      </c>
    </row>
    <row r="223" spans="1:17" ht="19" x14ac:dyDescent="0.25">
      <c r="A223" s="5">
        <v>45695</v>
      </c>
      <c r="B223" s="1">
        <v>173.81</v>
      </c>
      <c r="C223" s="1">
        <f t="shared" si="18"/>
        <v>8.6375676609470051E-4</v>
      </c>
      <c r="D223" s="1">
        <f t="shared" si="19"/>
        <v>8.4117945013738068E-7</v>
      </c>
      <c r="E223" s="1">
        <v>209</v>
      </c>
      <c r="F223" s="1">
        <f t="shared" si="15"/>
        <v>8.6375676609470051E-4</v>
      </c>
      <c r="G223" s="1">
        <f t="shared" si="16"/>
        <v>8.4117945013738068E-7</v>
      </c>
      <c r="O223" s="10">
        <v>45694</v>
      </c>
      <c r="P223" s="11">
        <v>552.4</v>
      </c>
      <c r="Q223" s="1">
        <f t="shared" si="17"/>
        <v>9.8166462534047573E-3</v>
      </c>
    </row>
    <row r="224" spans="1:17" ht="19" x14ac:dyDescent="0.25">
      <c r="A224" s="5">
        <v>45694</v>
      </c>
      <c r="B224" s="1">
        <v>173.87</v>
      </c>
      <c r="C224" s="1">
        <f t="shared" si="18"/>
        <v>3.4520453368622217E-4</v>
      </c>
      <c r="D224" s="1">
        <f t="shared" si="19"/>
        <v>1.5888684183278794E-7</v>
      </c>
      <c r="E224" s="1">
        <v>210</v>
      </c>
      <c r="F224" s="1">
        <f t="shared" si="15"/>
        <v>3.4520453368622217E-4</v>
      </c>
      <c r="G224" s="1">
        <f t="shared" si="16"/>
        <v>1.5888684183278794E-7</v>
      </c>
      <c r="O224" s="10">
        <v>45693</v>
      </c>
      <c r="P224" s="11">
        <v>550.41999999999996</v>
      </c>
      <c r="Q224" s="1">
        <f t="shared" si="17"/>
        <v>-3.5843591600289975E-3</v>
      </c>
    </row>
    <row r="225" spans="1:17" ht="19" x14ac:dyDescent="0.25">
      <c r="A225" s="5">
        <v>45693</v>
      </c>
      <c r="B225" s="1">
        <v>172.78</v>
      </c>
      <c r="C225" s="1">
        <f t="shared" si="18"/>
        <v>-6.2690515902686112E-3</v>
      </c>
      <c r="D225" s="1">
        <f t="shared" si="19"/>
        <v>3.8634304925954071E-5</v>
      </c>
      <c r="E225" s="1">
        <v>211</v>
      </c>
      <c r="F225" s="1">
        <f t="shared" si="15"/>
        <v>-6.2690515902686112E-3</v>
      </c>
      <c r="G225" s="1">
        <f t="shared" si="16"/>
        <v>3.8634304925954071E-5</v>
      </c>
      <c r="O225" s="10">
        <v>45692</v>
      </c>
      <c r="P225" s="11">
        <v>548.16999999999996</v>
      </c>
      <c r="Q225" s="1">
        <f t="shared" si="17"/>
        <v>-4.0877875077213769E-3</v>
      </c>
    </row>
    <row r="226" spans="1:17" ht="19" x14ac:dyDescent="0.25">
      <c r="A226" s="5">
        <v>45692</v>
      </c>
      <c r="B226" s="1">
        <v>174.08</v>
      </c>
      <c r="C226" s="1">
        <f t="shared" si="18"/>
        <v>7.5240189836787326E-3</v>
      </c>
      <c r="D226" s="1">
        <f t="shared" si="19"/>
        <v>5.7417302550269678E-5</v>
      </c>
      <c r="E226" s="1">
        <v>212</v>
      </c>
      <c r="F226" s="1">
        <f t="shared" si="15"/>
        <v>7.5240189836787326E-3</v>
      </c>
      <c r="G226" s="1">
        <f t="shared" si="16"/>
        <v>5.7417302550269678E-5</v>
      </c>
      <c r="O226" s="10">
        <v>45691</v>
      </c>
      <c r="P226" s="11">
        <v>544.55999999999995</v>
      </c>
      <c r="Q226" s="1">
        <f t="shared" si="17"/>
        <v>-6.5855482788186401E-3</v>
      </c>
    </row>
    <row r="227" spans="1:17" ht="19" x14ac:dyDescent="0.25">
      <c r="A227" s="5">
        <v>45691</v>
      </c>
      <c r="B227" s="1">
        <v>174.78</v>
      </c>
      <c r="C227" s="1">
        <f t="shared" si="18"/>
        <v>4.0211397058822875E-3</v>
      </c>
      <c r="D227" s="1">
        <f t="shared" si="19"/>
        <v>1.6601886771774798E-5</v>
      </c>
      <c r="E227" s="1">
        <v>213</v>
      </c>
      <c r="F227" s="1">
        <f t="shared" si="15"/>
        <v>4.0211397058822875E-3</v>
      </c>
      <c r="G227" s="1">
        <f t="shared" si="16"/>
        <v>1.6601886771774798E-5</v>
      </c>
      <c r="O227" s="10">
        <v>45688</v>
      </c>
      <c r="P227" s="11">
        <v>548.15</v>
      </c>
      <c r="Q227" s="1">
        <f t="shared" si="17"/>
        <v>6.5924783311297787E-3</v>
      </c>
    </row>
    <row r="228" spans="1:17" ht="19" x14ac:dyDescent="0.25">
      <c r="A228" s="5">
        <v>45688</v>
      </c>
      <c r="B228" s="1">
        <v>174.09</v>
      </c>
      <c r="C228" s="1">
        <f t="shared" si="18"/>
        <v>-3.9478201167181468E-3</v>
      </c>
      <c r="D228" s="1">
        <f t="shared" si="19"/>
        <v>1.5166495661317527E-5</v>
      </c>
      <c r="E228" s="1">
        <v>214</v>
      </c>
      <c r="F228" s="1">
        <f t="shared" si="15"/>
        <v>-3.9478201167181468E-3</v>
      </c>
      <c r="G228" s="1">
        <f t="shared" si="16"/>
        <v>1.5166495661317527E-5</v>
      </c>
      <c r="O228" s="10">
        <v>45687</v>
      </c>
      <c r="P228" s="11">
        <v>551.1</v>
      </c>
      <c r="Q228" s="1">
        <f t="shared" si="17"/>
        <v>5.3817385752075991E-3</v>
      </c>
    </row>
    <row r="229" spans="1:17" ht="19" x14ac:dyDescent="0.25">
      <c r="A229" s="5">
        <v>45687</v>
      </c>
      <c r="B229" s="1">
        <v>174.34</v>
      </c>
      <c r="C229" s="1">
        <f t="shared" si="18"/>
        <v>1.4360388304899764E-3</v>
      </c>
      <c r="D229" s="1">
        <f t="shared" si="19"/>
        <v>2.2184327661618268E-6</v>
      </c>
      <c r="E229" s="1">
        <v>215</v>
      </c>
      <c r="F229" s="1">
        <f t="shared" si="15"/>
        <v>1.4360388304899764E-3</v>
      </c>
      <c r="G229" s="1">
        <f t="shared" si="16"/>
        <v>2.2184327661618268E-6</v>
      </c>
      <c r="O229" s="10">
        <v>45686</v>
      </c>
      <c r="P229" s="11">
        <v>548.23</v>
      </c>
      <c r="Q229" s="1">
        <f t="shared" si="17"/>
        <v>-5.2077662856106054E-3</v>
      </c>
    </row>
    <row r="230" spans="1:17" ht="19" x14ac:dyDescent="0.25">
      <c r="A230" s="5">
        <v>45686</v>
      </c>
      <c r="B230" s="1">
        <v>172.91</v>
      </c>
      <c r="C230" s="1">
        <f t="shared" si="18"/>
        <v>-8.2023631983480939E-3</v>
      </c>
      <c r="D230" s="1">
        <f t="shared" si="19"/>
        <v>6.6405575294481783E-5</v>
      </c>
      <c r="E230" s="1">
        <v>216</v>
      </c>
      <c r="F230" s="1">
        <f t="shared" si="15"/>
        <v>-8.2023631983480939E-3</v>
      </c>
      <c r="G230" s="1">
        <f t="shared" si="16"/>
        <v>6.6405575294481783E-5</v>
      </c>
      <c r="O230" s="10">
        <v>45685</v>
      </c>
      <c r="P230" s="11">
        <v>550.65</v>
      </c>
      <c r="Q230" s="1">
        <f t="shared" si="17"/>
        <v>4.414205716578733E-3</v>
      </c>
    </row>
    <row r="231" spans="1:17" ht="19" x14ac:dyDescent="0.25">
      <c r="A231" s="5">
        <v>45685</v>
      </c>
      <c r="B231" s="1">
        <v>175.15</v>
      </c>
      <c r="C231" s="1">
        <f t="shared" si="18"/>
        <v>1.2954716326412638E-2</v>
      </c>
      <c r="D231" s="1">
        <f t="shared" si="19"/>
        <v>1.6921113172705502E-4</v>
      </c>
      <c r="E231" s="1">
        <v>217</v>
      </c>
      <c r="F231" s="1">
        <f t="shared" si="15"/>
        <v>1.2954716326412638E-2</v>
      </c>
      <c r="G231" s="1">
        <f t="shared" si="16"/>
        <v>1.6921113172705502E-4</v>
      </c>
      <c r="O231" s="10">
        <v>45684</v>
      </c>
      <c r="P231" s="11">
        <v>546.07000000000005</v>
      </c>
      <c r="Q231" s="1">
        <f t="shared" si="17"/>
        <v>-8.3174430218830968E-3</v>
      </c>
    </row>
    <row r="232" spans="1:17" ht="19" x14ac:dyDescent="0.25">
      <c r="A232" s="5">
        <v>45684</v>
      </c>
      <c r="B232" s="1">
        <v>177.6</v>
      </c>
      <c r="C232" s="1">
        <f t="shared" si="18"/>
        <v>1.3988010276905443E-2</v>
      </c>
      <c r="D232" s="1">
        <f t="shared" si="19"/>
        <v>1.9716124721581344E-4</v>
      </c>
      <c r="E232" s="1">
        <v>218</v>
      </c>
      <c r="F232" s="1">
        <f t="shared" si="15"/>
        <v>1.3988010276905443E-2</v>
      </c>
      <c r="G232" s="1">
        <f t="shared" si="16"/>
        <v>1.9716124721581344E-4</v>
      </c>
      <c r="O232" s="10">
        <v>45681</v>
      </c>
      <c r="P232" s="11">
        <v>553.78</v>
      </c>
      <c r="Q232" s="1">
        <f t="shared" si="17"/>
        <v>1.411906898382977E-2</v>
      </c>
    </row>
    <row r="233" spans="1:17" ht="19" x14ac:dyDescent="0.25">
      <c r="A233" s="5">
        <v>45681</v>
      </c>
      <c r="B233" s="1">
        <v>173.88</v>
      </c>
      <c r="C233" s="1">
        <f t="shared" si="18"/>
        <v>-2.094594594594594E-2</v>
      </c>
      <c r="D233" s="1">
        <f t="shared" si="19"/>
        <v>4.3649840966555469E-4</v>
      </c>
      <c r="E233" s="1">
        <v>219</v>
      </c>
      <c r="F233" s="1">
        <f t="shared" si="15"/>
        <v>-2.094594594594594E-2</v>
      </c>
      <c r="G233" s="1">
        <f t="shared" si="16"/>
        <v>4.3649840966555469E-4</v>
      </c>
      <c r="O233" s="10">
        <v>45680</v>
      </c>
      <c r="P233" s="11">
        <v>555.45000000000005</v>
      </c>
      <c r="Q233" s="1">
        <f t="shared" si="17"/>
        <v>3.0156379789809543E-3</v>
      </c>
    </row>
    <row r="234" spans="1:17" ht="19" x14ac:dyDescent="0.25">
      <c r="A234" s="5">
        <v>45680</v>
      </c>
      <c r="B234" s="1">
        <v>174.12</v>
      </c>
      <c r="C234" s="1">
        <f t="shared" si="18"/>
        <v>1.3802622498275195E-3</v>
      </c>
      <c r="D234" s="1">
        <f t="shared" si="19"/>
        <v>2.0553920056024873E-6</v>
      </c>
      <c r="E234" s="1">
        <v>220</v>
      </c>
      <c r="F234" s="1">
        <f t="shared" si="15"/>
        <v>1.3802622498275195E-3</v>
      </c>
      <c r="G234" s="1">
        <f t="shared" si="16"/>
        <v>2.0553920056024873E-6</v>
      </c>
      <c r="O234" s="10">
        <v>45679</v>
      </c>
      <c r="P234" s="11">
        <v>552.39</v>
      </c>
      <c r="Q234" s="1">
        <f t="shared" si="17"/>
        <v>-5.5090467188766926E-3</v>
      </c>
    </row>
    <row r="235" spans="1:17" ht="19" x14ac:dyDescent="0.25">
      <c r="A235" s="5">
        <v>45679</v>
      </c>
      <c r="B235" s="1">
        <v>173.54</v>
      </c>
      <c r="C235" s="1">
        <f t="shared" si="18"/>
        <v>-3.3310360670802462E-3</v>
      </c>
      <c r="D235" s="1">
        <f t="shared" si="19"/>
        <v>1.0742887765405684E-5</v>
      </c>
      <c r="E235" s="1">
        <v>221</v>
      </c>
      <c r="F235" s="1">
        <f t="shared" si="15"/>
        <v>-3.3310360670802462E-3</v>
      </c>
      <c r="G235" s="1">
        <f t="shared" si="16"/>
        <v>1.0742887765405684E-5</v>
      </c>
      <c r="O235" s="10">
        <v>45678</v>
      </c>
      <c r="P235" s="11">
        <v>549.27</v>
      </c>
      <c r="Q235" s="1">
        <f t="shared" si="17"/>
        <v>-5.648183348721021E-3</v>
      </c>
    </row>
    <row r="236" spans="1:17" ht="19" x14ac:dyDescent="0.25">
      <c r="A236" s="5">
        <v>45678</v>
      </c>
      <c r="B236" s="1">
        <v>174.75</v>
      </c>
      <c r="C236" s="1">
        <f t="shared" si="18"/>
        <v>6.9724559179440357E-3</v>
      </c>
      <c r="D236" s="1">
        <f t="shared" si="19"/>
        <v>4.9362673721803714E-5</v>
      </c>
      <c r="E236" s="1">
        <v>222</v>
      </c>
      <c r="F236" s="1">
        <f t="shared" si="15"/>
        <v>6.9724559179440357E-3</v>
      </c>
      <c r="G236" s="1">
        <f t="shared" si="16"/>
        <v>4.9362673721803714E-5</v>
      </c>
      <c r="O236" s="10">
        <v>45674</v>
      </c>
      <c r="P236" s="11">
        <v>544.32000000000005</v>
      </c>
      <c r="Q236" s="1">
        <f t="shared" si="17"/>
        <v>-9.0119613304930762E-3</v>
      </c>
    </row>
    <row r="237" spans="1:17" ht="19" x14ac:dyDescent="0.25">
      <c r="A237" s="5">
        <v>45674</v>
      </c>
      <c r="B237" s="1">
        <v>173.16</v>
      </c>
      <c r="C237" s="1">
        <f t="shared" si="18"/>
        <v>-9.0987124463519503E-3</v>
      </c>
      <c r="D237" s="1">
        <f t="shared" si="19"/>
        <v>8.1817648488205659E-5</v>
      </c>
      <c r="E237" s="1">
        <v>223</v>
      </c>
      <c r="F237" s="1">
        <f t="shared" si="15"/>
        <v>-9.0987124463519503E-3</v>
      </c>
      <c r="G237" s="1">
        <f t="shared" si="16"/>
        <v>8.1817648488205659E-5</v>
      </c>
      <c r="O237" s="10">
        <v>45673</v>
      </c>
      <c r="P237" s="11">
        <v>539.15</v>
      </c>
      <c r="Q237" s="1">
        <f t="shared" si="17"/>
        <v>-9.4980893592006028E-3</v>
      </c>
    </row>
    <row r="238" spans="1:17" ht="19" x14ac:dyDescent="0.25">
      <c r="A238" s="5">
        <v>45673</v>
      </c>
      <c r="B238" s="1">
        <v>172.5</v>
      </c>
      <c r="C238" s="1">
        <f t="shared" si="18"/>
        <v>-3.8115038115037921E-3</v>
      </c>
      <c r="D238" s="1">
        <f t="shared" si="19"/>
        <v>1.4123332307341202E-5</v>
      </c>
      <c r="E238" s="1">
        <v>224</v>
      </c>
      <c r="F238" s="1">
        <f t="shared" si="15"/>
        <v>-3.8115038115037921E-3</v>
      </c>
      <c r="G238" s="1">
        <f t="shared" si="16"/>
        <v>1.4123332307341202E-5</v>
      </c>
      <c r="O238" s="10">
        <v>45672</v>
      </c>
      <c r="P238" s="11">
        <v>539.95000000000005</v>
      </c>
      <c r="Q238" s="1">
        <f t="shared" si="17"/>
        <v>1.4838171195401433E-3</v>
      </c>
    </row>
    <row r="239" spans="1:17" ht="19" x14ac:dyDescent="0.25">
      <c r="A239" s="5">
        <v>45672</v>
      </c>
      <c r="B239" s="1">
        <v>171.97</v>
      </c>
      <c r="C239" s="1">
        <f t="shared" si="18"/>
        <v>-3.0724637681159486E-3</v>
      </c>
      <c r="D239" s="1">
        <f t="shared" si="19"/>
        <v>9.1147364353860203E-6</v>
      </c>
      <c r="E239" s="1">
        <v>225</v>
      </c>
      <c r="F239" s="1">
        <f t="shared" si="15"/>
        <v>-3.0724637681159486E-3</v>
      </c>
      <c r="G239" s="1">
        <f t="shared" si="16"/>
        <v>9.1147364353860203E-6</v>
      </c>
      <c r="O239" s="10">
        <v>45671</v>
      </c>
      <c r="P239" s="11">
        <v>530.25</v>
      </c>
      <c r="Q239" s="1">
        <f t="shared" si="17"/>
        <v>-1.7964626354292145E-2</v>
      </c>
    </row>
    <row r="240" spans="1:17" ht="19" x14ac:dyDescent="0.25">
      <c r="A240" s="5">
        <v>45671</v>
      </c>
      <c r="B240" s="1">
        <v>172.37</v>
      </c>
      <c r="C240" s="1">
        <f t="shared" si="18"/>
        <v>2.3259870907716791E-3</v>
      </c>
      <c r="D240" s="1">
        <f t="shared" si="19"/>
        <v>5.6614904941404105E-6</v>
      </c>
      <c r="E240" s="1">
        <v>226</v>
      </c>
      <c r="F240" s="1">
        <f t="shared" si="15"/>
        <v>2.3259870907716791E-3</v>
      </c>
      <c r="G240" s="1">
        <f t="shared" si="16"/>
        <v>5.6614904941404105E-6</v>
      </c>
      <c r="O240" s="10">
        <v>45670</v>
      </c>
      <c r="P240" s="11">
        <v>529.58000000000004</v>
      </c>
      <c r="Q240" s="1">
        <f t="shared" si="17"/>
        <v>-1.2635549269211864E-3</v>
      </c>
    </row>
    <row r="241" spans="1:17" ht="19" x14ac:dyDescent="0.25">
      <c r="A241" s="5">
        <v>45670</v>
      </c>
      <c r="B241" s="1">
        <v>173.25</v>
      </c>
      <c r="C241" s="1">
        <f t="shared" si="18"/>
        <v>5.1052967453732983E-3</v>
      </c>
      <c r="D241" s="1">
        <f t="shared" si="19"/>
        <v>2.6612168515287887E-5</v>
      </c>
      <c r="E241" s="1">
        <v>227</v>
      </c>
      <c r="F241" s="1">
        <f t="shared" si="15"/>
        <v>5.1052967453732983E-3</v>
      </c>
      <c r="G241" s="1">
        <f t="shared" si="16"/>
        <v>2.6612168515287887E-5</v>
      </c>
      <c r="O241" s="10">
        <v>45667</v>
      </c>
      <c r="P241" s="11">
        <v>528.9</v>
      </c>
      <c r="Q241" s="1">
        <f t="shared" si="17"/>
        <v>-1.2840364062088139E-3</v>
      </c>
    </row>
    <row r="242" spans="1:17" ht="19" x14ac:dyDescent="0.25">
      <c r="A242" s="5">
        <v>45667</v>
      </c>
      <c r="B242" s="1">
        <v>172</v>
      </c>
      <c r="C242" s="1">
        <f t="shared" si="18"/>
        <v>-7.215007215007215E-3</v>
      </c>
      <c r="D242" s="1">
        <f t="shared" si="19"/>
        <v>5.1288595128267353E-5</v>
      </c>
      <c r="E242" s="1">
        <v>228</v>
      </c>
      <c r="F242" s="1">
        <f t="shared" si="15"/>
        <v>-7.215007215007215E-3</v>
      </c>
      <c r="G242" s="1">
        <f t="shared" si="16"/>
        <v>5.1288595128267353E-5</v>
      </c>
      <c r="O242" s="10">
        <v>45665</v>
      </c>
      <c r="P242" s="11">
        <v>537.07000000000005</v>
      </c>
      <c r="Q242" s="1">
        <f t="shared" si="17"/>
        <v>1.5447154471544853E-2</v>
      </c>
    </row>
    <row r="243" spans="1:17" ht="19" x14ac:dyDescent="0.25">
      <c r="A243" s="5">
        <v>45665</v>
      </c>
      <c r="B243" s="1">
        <v>173.45</v>
      </c>
      <c r="C243" s="1">
        <f t="shared" si="18"/>
        <v>8.430232558139468E-3</v>
      </c>
      <c r="D243" s="1">
        <f t="shared" si="19"/>
        <v>7.1972048359321262E-5</v>
      </c>
      <c r="E243" s="1">
        <v>229</v>
      </c>
      <c r="F243" s="1">
        <f t="shared" si="15"/>
        <v>8.430232558139468E-3</v>
      </c>
      <c r="G243" s="1">
        <f t="shared" si="16"/>
        <v>7.1972048359321262E-5</v>
      </c>
      <c r="O243" s="10">
        <v>45664</v>
      </c>
      <c r="P243" s="11">
        <v>536.34</v>
      </c>
      <c r="Q243" s="1">
        <f t="shared" si="17"/>
        <v>-1.3592269164168882E-3</v>
      </c>
    </row>
    <row r="244" spans="1:17" ht="19" x14ac:dyDescent="0.25">
      <c r="A244" s="5">
        <v>45664</v>
      </c>
      <c r="B244" s="1">
        <v>171.34</v>
      </c>
      <c r="C244" s="1">
        <f t="shared" si="18"/>
        <v>-1.2164889017007699E-2</v>
      </c>
      <c r="D244" s="1">
        <f t="shared" si="19"/>
        <v>1.4668812769478946E-4</v>
      </c>
      <c r="E244" s="1">
        <v>230</v>
      </c>
      <c r="F244" s="1">
        <f t="shared" si="15"/>
        <v>-1.2164889017007699E-2</v>
      </c>
      <c r="G244" s="1">
        <f t="shared" si="16"/>
        <v>1.4668812769478946E-4</v>
      </c>
      <c r="O244" s="10">
        <v>45663</v>
      </c>
      <c r="P244" s="11">
        <v>542.45000000000005</v>
      </c>
      <c r="Q244" s="1">
        <f t="shared" si="17"/>
        <v>1.1392027445277274E-2</v>
      </c>
    </row>
    <row r="245" spans="1:17" ht="19" x14ac:dyDescent="0.25">
      <c r="A245" s="5">
        <v>45663</v>
      </c>
      <c r="B245" s="1">
        <v>169.63</v>
      </c>
      <c r="C245" s="1">
        <f t="shared" si="18"/>
        <v>-9.9801564141473557E-3</v>
      </c>
      <c r="D245" s="1">
        <f t="shared" si="19"/>
        <v>9.8540461338916303E-5</v>
      </c>
      <c r="E245" s="1">
        <v>231</v>
      </c>
      <c r="F245" s="1">
        <f t="shared" si="15"/>
        <v>-9.9801564141473557E-3</v>
      </c>
      <c r="G245" s="1">
        <f t="shared" si="16"/>
        <v>9.8540461338916303E-5</v>
      </c>
      <c r="O245" s="10">
        <v>45660</v>
      </c>
      <c r="P245" s="11">
        <v>539.30999999999995</v>
      </c>
      <c r="Q245" s="1">
        <f t="shared" si="17"/>
        <v>-5.7885519402711763E-3</v>
      </c>
    </row>
    <row r="246" spans="1:17" ht="19" x14ac:dyDescent="0.25">
      <c r="A246" s="5">
        <v>45660</v>
      </c>
      <c r="B246" s="1">
        <v>173.7</v>
      </c>
      <c r="C246" s="1">
        <f t="shared" si="18"/>
        <v>2.3993397394328795E-2</v>
      </c>
      <c r="D246" s="1">
        <f t="shared" si="19"/>
        <v>5.782485413922719E-4</v>
      </c>
      <c r="E246" s="1">
        <v>232</v>
      </c>
      <c r="F246" s="1">
        <f t="shared" si="15"/>
        <v>2.3993397394328795E-2</v>
      </c>
      <c r="G246" s="1">
        <f t="shared" si="16"/>
        <v>5.782485413922719E-4</v>
      </c>
      <c r="O246" s="10">
        <v>45659</v>
      </c>
      <c r="P246" s="11">
        <v>532.42999999999995</v>
      </c>
      <c r="Q246" s="1">
        <f t="shared" si="17"/>
        <v>-1.2757041404757924E-2</v>
      </c>
    </row>
    <row r="247" spans="1:17" ht="19" x14ac:dyDescent="0.25">
      <c r="A247" s="5">
        <v>45659</v>
      </c>
      <c r="B247" s="1">
        <v>172.97</v>
      </c>
      <c r="C247" s="1">
        <f t="shared" si="18"/>
        <v>-4.2026482440989631E-3</v>
      </c>
      <c r="D247" s="1">
        <f t="shared" si="19"/>
        <v>1.7216247796628132E-5</v>
      </c>
      <c r="E247" s="1">
        <v>233</v>
      </c>
      <c r="F247" s="1">
        <f t="shared" si="15"/>
        <v>-4.2026482440989631E-3</v>
      </c>
      <c r="G247" s="1">
        <f t="shared" si="16"/>
        <v>1.7216247796628132E-5</v>
      </c>
      <c r="O247" s="10">
        <v>45657</v>
      </c>
      <c r="P247" s="11">
        <v>533.77</v>
      </c>
      <c r="Q247" s="1">
        <f t="shared" si="17"/>
        <v>2.5167627669365586E-3</v>
      </c>
    </row>
    <row r="248" spans="1:17" ht="19" x14ac:dyDescent="0.25">
      <c r="A248" s="5">
        <v>45657</v>
      </c>
      <c r="B248" s="1">
        <v>175.3</v>
      </c>
      <c r="C248" s="1">
        <f t="shared" si="18"/>
        <v>1.3470544024975502E-2</v>
      </c>
      <c r="D248" s="1">
        <f t="shared" si="19"/>
        <v>1.8289710499656511E-4</v>
      </c>
      <c r="E248" s="1">
        <v>234</v>
      </c>
      <c r="F248" s="1">
        <f t="shared" si="15"/>
        <v>1.3470544024975502E-2</v>
      </c>
      <c r="G248" s="1">
        <f t="shared" si="16"/>
        <v>1.8289710499656511E-4</v>
      </c>
      <c r="O248" s="10">
        <v>45656</v>
      </c>
      <c r="P248" s="11">
        <v>535.92999999999995</v>
      </c>
      <c r="Q248" s="1">
        <f t="shared" si="17"/>
        <v>4.046686775202743E-3</v>
      </c>
    </row>
    <row r="249" spans="1:17" ht="19" x14ac:dyDescent="0.25">
      <c r="A249" s="5">
        <v>45656</v>
      </c>
      <c r="B249" s="1">
        <v>175.08</v>
      </c>
      <c r="C249" s="1">
        <f t="shared" si="18"/>
        <v>-1.2549914432401531E-3</v>
      </c>
      <c r="D249" s="1">
        <f t="shared" si="19"/>
        <v>1.4438181754319032E-6</v>
      </c>
      <c r="E249" s="1">
        <v>235</v>
      </c>
      <c r="F249" s="1">
        <f t="shared" si="15"/>
        <v>-1.2549914432401531E-3</v>
      </c>
      <c r="G249" s="1">
        <f t="shared" si="16"/>
        <v>1.4438181754319032E-6</v>
      </c>
      <c r="O249" s="10">
        <v>45653</v>
      </c>
      <c r="P249" s="11">
        <v>541.96</v>
      </c>
      <c r="Q249" s="1">
        <f t="shared" si="17"/>
        <v>1.1251469408318412E-2</v>
      </c>
    </row>
    <row r="250" spans="1:17" ht="19" x14ac:dyDescent="0.25">
      <c r="A250" s="5">
        <v>45653</v>
      </c>
      <c r="B250" s="1">
        <v>176.88</v>
      </c>
      <c r="C250" s="1">
        <f t="shared" si="18"/>
        <v>1.0281014393420053E-2</v>
      </c>
      <c r="D250" s="1">
        <f t="shared" si="19"/>
        <v>1.0680015371817684E-4</v>
      </c>
      <c r="E250" s="1">
        <v>236</v>
      </c>
      <c r="F250" s="1">
        <f t="shared" si="15"/>
        <v>1.0281014393420053E-2</v>
      </c>
      <c r="G250" s="1">
        <f t="shared" si="16"/>
        <v>1.0680015371817684E-4</v>
      </c>
      <c r="O250" s="10">
        <v>45652</v>
      </c>
      <c r="P250" s="11">
        <v>547.64</v>
      </c>
      <c r="Q250" s="1">
        <f t="shared" si="17"/>
        <v>1.0480478264078438E-2</v>
      </c>
    </row>
    <row r="251" spans="1:17" ht="19" x14ac:dyDescent="0.25">
      <c r="A251" s="5">
        <v>45652</v>
      </c>
      <c r="B251" s="1">
        <v>177.51</v>
      </c>
      <c r="C251" s="1">
        <f t="shared" si="18"/>
        <v>3.5617367706919688E-3</v>
      </c>
      <c r="D251" s="1">
        <f t="shared" si="19"/>
        <v>1.3069225366879792E-5</v>
      </c>
      <c r="E251" s="1">
        <v>237</v>
      </c>
      <c r="F251" s="1">
        <f t="shared" si="15"/>
        <v>3.5617367706919688E-3</v>
      </c>
      <c r="G251" s="1">
        <f t="shared" si="16"/>
        <v>1.3069225366879792E-5</v>
      </c>
      <c r="O251" s="10">
        <v>45650</v>
      </c>
      <c r="P251" s="11">
        <v>547.65</v>
      </c>
      <c r="Q251" s="1">
        <f t="shared" si="17"/>
        <v>1.8260170915183158E-5</v>
      </c>
    </row>
    <row r="252" spans="1:17" ht="19" x14ac:dyDescent="0.25">
      <c r="A252" s="5">
        <v>45650</v>
      </c>
      <c r="B252" s="1">
        <v>177.05</v>
      </c>
      <c r="C252" s="1">
        <f t="shared" si="18"/>
        <v>-2.5914033012223513E-3</v>
      </c>
      <c r="D252" s="1">
        <f t="shared" si="19"/>
        <v>6.4414526862144965E-6</v>
      </c>
      <c r="E252" s="1">
        <v>238</v>
      </c>
      <c r="F252" s="1">
        <f t="shared" si="15"/>
        <v>-2.5914033012223513E-3</v>
      </c>
      <c r="G252" s="1">
        <f t="shared" si="16"/>
        <v>6.4414526862144965E-6</v>
      </c>
      <c r="O252" s="10">
        <v>45649</v>
      </c>
      <c r="P252" s="11">
        <v>542.07000000000005</v>
      </c>
      <c r="Q252" s="1">
        <f t="shared" si="17"/>
        <v>-1.0188989317994937E-2</v>
      </c>
    </row>
    <row r="253" spans="1:17" ht="19" x14ac:dyDescent="0.25">
      <c r="A253" s="5">
        <v>45649</v>
      </c>
      <c r="B253" s="1">
        <v>175.64</v>
      </c>
      <c r="C253" s="1">
        <f t="shared" si="18"/>
        <v>-7.9638520192037553E-3</v>
      </c>
      <c r="D253" s="1">
        <f t="shared" si="19"/>
        <v>6.2575225993036096E-5</v>
      </c>
      <c r="E253" s="1">
        <v>239</v>
      </c>
      <c r="F253" s="1">
        <f t="shared" si="15"/>
        <v>-7.9638520192037553E-3</v>
      </c>
      <c r="G253" s="1">
        <f t="shared" si="16"/>
        <v>6.2575225993036096E-5</v>
      </c>
      <c r="O253" s="10">
        <v>45646</v>
      </c>
      <c r="P253" s="11">
        <v>538.22</v>
      </c>
      <c r="Q253" s="1">
        <f t="shared" si="17"/>
        <v>-7.1024037485933967E-3</v>
      </c>
    </row>
    <row r="254" spans="1:17" ht="19" x14ac:dyDescent="0.25">
      <c r="A254" s="5">
        <v>45646</v>
      </c>
      <c r="B254" s="1">
        <v>176.74</v>
      </c>
      <c r="C254" s="1">
        <f t="shared" si="18"/>
        <v>6.2628102937828676E-3</v>
      </c>
      <c r="D254" s="1">
        <f t="shared" si="19"/>
        <v>3.9894532560723177E-5</v>
      </c>
      <c r="E254" s="1">
        <v>240</v>
      </c>
      <c r="F254" s="1">
        <f t="shared" si="15"/>
        <v>6.2628102937828676E-3</v>
      </c>
      <c r="G254" s="1">
        <f t="shared" si="16"/>
        <v>3.9894532560723177E-5</v>
      </c>
      <c r="O254" s="10">
        <v>45645</v>
      </c>
      <c r="P254" s="11">
        <v>532.19000000000005</v>
      </c>
      <c r="Q254" s="1">
        <f t="shared" si="17"/>
        <v>-1.1203597042101691E-2</v>
      </c>
    </row>
    <row r="255" spans="1:17" ht="19" x14ac:dyDescent="0.25">
      <c r="A255" s="5">
        <v>45645</v>
      </c>
      <c r="B255" s="1">
        <v>175.99</v>
      </c>
      <c r="C255" s="1">
        <f t="shared" si="18"/>
        <v>-4.24352155708951E-3</v>
      </c>
      <c r="D255" s="1">
        <f t="shared" si="19"/>
        <v>1.7557105338679645E-5</v>
      </c>
      <c r="E255" s="1">
        <v>241</v>
      </c>
      <c r="F255" s="1">
        <f t="shared" si="15"/>
        <v>-4.24352155708951E-3</v>
      </c>
      <c r="G255" s="1">
        <f t="shared" si="16"/>
        <v>1.7557105338679645E-5</v>
      </c>
      <c r="O255" s="10">
        <v>45644</v>
      </c>
      <c r="P255" s="11">
        <v>532.39</v>
      </c>
      <c r="Q255" s="1">
        <f t="shared" si="17"/>
        <v>3.7580563332631533E-4</v>
      </c>
    </row>
    <row r="256" spans="1:17" ht="19" x14ac:dyDescent="0.25">
      <c r="A256" s="5">
        <v>45644</v>
      </c>
      <c r="B256" s="1">
        <v>176.5</v>
      </c>
      <c r="C256" s="1">
        <f t="shared" si="18"/>
        <v>2.8978919256775434E-3</v>
      </c>
      <c r="D256" s="1">
        <f t="shared" si="19"/>
        <v>8.7101334156257621E-6</v>
      </c>
      <c r="E256" s="1">
        <v>242</v>
      </c>
      <c r="F256" s="1">
        <f t="shared" si="15"/>
        <v>2.8978919256775434E-3</v>
      </c>
      <c r="G256" s="1">
        <f t="shared" si="16"/>
        <v>8.7101334156257621E-6</v>
      </c>
      <c r="O256" s="10">
        <v>45643</v>
      </c>
      <c r="P256" s="11">
        <v>548.5</v>
      </c>
      <c r="Q256" s="1">
        <f t="shared" si="17"/>
        <v>3.0259771971674926E-2</v>
      </c>
    </row>
    <row r="257" spans="1:17" ht="19" x14ac:dyDescent="0.25">
      <c r="A257" s="5">
        <v>45643</v>
      </c>
      <c r="B257" s="1">
        <v>177.67</v>
      </c>
      <c r="C257" s="1">
        <f t="shared" si="18"/>
        <v>6.6288951841359063E-3</v>
      </c>
      <c r="D257" s="1">
        <f t="shared" si="19"/>
        <v>4.4653090177503629E-5</v>
      </c>
      <c r="E257" s="1">
        <v>243</v>
      </c>
      <c r="F257" s="1">
        <f t="shared" si="15"/>
        <v>6.6288951841359063E-3</v>
      </c>
      <c r="G257" s="1">
        <f t="shared" si="16"/>
        <v>4.4653090177503629E-5</v>
      </c>
      <c r="O257" s="10">
        <v>45642</v>
      </c>
      <c r="P257" s="11">
        <v>550.80999999999995</v>
      </c>
      <c r="Q257" s="1">
        <f t="shared" si="17"/>
        <v>4.2114858705559624E-3</v>
      </c>
    </row>
    <row r="258" spans="1:17" ht="19" x14ac:dyDescent="0.25">
      <c r="A258" s="5">
        <v>45642</v>
      </c>
      <c r="B258" s="1">
        <v>178.08</v>
      </c>
      <c r="C258" s="1">
        <f t="shared" si="18"/>
        <v>2.3076490122137957E-3</v>
      </c>
      <c r="D258" s="1">
        <f t="shared" si="19"/>
        <v>5.574559946170485E-6</v>
      </c>
      <c r="E258" s="1">
        <v>244</v>
      </c>
      <c r="F258" s="1">
        <f t="shared" si="15"/>
        <v>2.3076490122137957E-3</v>
      </c>
      <c r="G258" s="1">
        <f t="shared" si="16"/>
        <v>5.574559946170485E-6</v>
      </c>
      <c r="O258" s="10">
        <v>45639</v>
      </c>
      <c r="P258" s="11">
        <v>548.66</v>
      </c>
      <c r="Q258" s="1">
        <f t="shared" si="17"/>
        <v>-3.9033423503567065E-3</v>
      </c>
    </row>
    <row r="259" spans="1:17" ht="19" x14ac:dyDescent="0.25">
      <c r="A259" s="5">
        <v>45639</v>
      </c>
      <c r="B259" s="1">
        <v>179.8</v>
      </c>
      <c r="C259" s="1">
        <f t="shared" si="18"/>
        <v>9.6585804132973876E-3</v>
      </c>
      <c r="D259" s="1">
        <f t="shared" si="19"/>
        <v>9.4322594432192809E-5</v>
      </c>
      <c r="E259" s="1">
        <v>245</v>
      </c>
      <c r="F259" s="1">
        <f t="shared" si="15"/>
        <v>9.6585804132973876E-3</v>
      </c>
      <c r="G259" s="1">
        <f t="shared" si="16"/>
        <v>9.4322594432192809E-5</v>
      </c>
      <c r="O259" s="10">
        <v>45638</v>
      </c>
      <c r="P259" s="11">
        <v>548.70000000000005</v>
      </c>
      <c r="Q259" s="1">
        <f t="shared" si="17"/>
        <v>7.2904895563878012E-5</v>
      </c>
    </row>
    <row r="260" spans="1:17" ht="19" x14ac:dyDescent="0.25">
      <c r="A260" s="5">
        <v>45638</v>
      </c>
      <c r="B260" s="1">
        <v>180.55</v>
      </c>
      <c r="C260" s="1">
        <f t="shared" si="18"/>
        <v>4.1713014460511679E-3</v>
      </c>
      <c r="D260" s="1">
        <f t="shared" si="19"/>
        <v>1.7848115742741867E-5</v>
      </c>
      <c r="E260" s="1">
        <v>246</v>
      </c>
      <c r="F260" s="1">
        <f t="shared" si="15"/>
        <v>4.1713014460511679E-3</v>
      </c>
      <c r="G260" s="1">
        <f t="shared" si="16"/>
        <v>1.7848115742741867E-5</v>
      </c>
      <c r="O260" s="10">
        <v>45637</v>
      </c>
      <c r="P260" s="11">
        <v>551.54</v>
      </c>
      <c r="Q260" s="1">
        <f t="shared" si="17"/>
        <v>5.1758702387459778E-3</v>
      </c>
    </row>
    <row r="261" spans="1:17" ht="19" x14ac:dyDescent="0.25">
      <c r="A261" s="5">
        <v>45637</v>
      </c>
      <c r="B261" s="1">
        <v>178.85</v>
      </c>
      <c r="C261" s="1">
        <f t="shared" si="18"/>
        <v>-9.4156743284409695E-3</v>
      </c>
      <c r="D261" s="1">
        <f t="shared" si="19"/>
        <v>8.765215082912803E-5</v>
      </c>
      <c r="E261" s="1">
        <v>247</v>
      </c>
      <c r="F261" s="1">
        <f t="shared" si="15"/>
        <v>-9.4156743284409695E-3</v>
      </c>
      <c r="G261" s="1">
        <f t="shared" si="16"/>
        <v>8.765215082912803E-5</v>
      </c>
      <c r="O261" s="10">
        <v>45636</v>
      </c>
      <c r="P261" s="11">
        <v>547.39</v>
      </c>
      <c r="Q261" s="1">
        <f t="shared" si="17"/>
        <v>-7.5243862639155414E-3</v>
      </c>
    </row>
    <row r="262" spans="1:17" ht="19" x14ac:dyDescent="0.25">
      <c r="A262" s="5">
        <v>45636</v>
      </c>
      <c r="B262" s="1">
        <v>177.27</v>
      </c>
      <c r="C262" s="1">
        <f t="shared" si="18"/>
        <v>-8.8342186189543422E-3</v>
      </c>
      <c r="D262" s="1">
        <f t="shared" si="19"/>
        <v>7.7102747696136879E-5</v>
      </c>
      <c r="E262" s="1">
        <v>248</v>
      </c>
      <c r="F262" s="1">
        <f t="shared" si="15"/>
        <v>-8.8342186189543422E-3</v>
      </c>
      <c r="G262" s="1">
        <f t="shared" si="16"/>
        <v>7.7102747696136879E-5</v>
      </c>
      <c r="O262" s="10">
        <v>45635</v>
      </c>
      <c r="P262" s="11">
        <v>548.95000000000005</v>
      </c>
      <c r="Q262" s="1">
        <f t="shared" si="17"/>
        <v>2.8498876486601128E-3</v>
      </c>
    </row>
    <row r="263" spans="1:17" ht="19" x14ac:dyDescent="0.25">
      <c r="A263" s="5">
        <v>45635</v>
      </c>
      <c r="B263" s="1">
        <v>174.8</v>
      </c>
      <c r="C263" s="1">
        <f t="shared" si="18"/>
        <v>-1.3933547695605565E-2</v>
      </c>
      <c r="D263" s="1">
        <f t="shared" si="19"/>
        <v>1.9265845591321393E-4</v>
      </c>
      <c r="E263" s="1">
        <v>249</v>
      </c>
      <c r="F263" s="1">
        <f t="shared" si="15"/>
        <v>-1.3933547695605565E-2</v>
      </c>
      <c r="G263" s="1">
        <f t="shared" si="16"/>
        <v>1.9265845591321393E-4</v>
      </c>
      <c r="O263" s="10">
        <v>45632</v>
      </c>
      <c r="P263" s="11">
        <v>551.83000000000004</v>
      </c>
      <c r="Q263" s="1">
        <f t="shared" si="17"/>
        <v>5.2463794516804723E-3</v>
      </c>
    </row>
    <row r="264" spans="1:17" x14ac:dyDescent="0.2">
      <c r="A264" s="5">
        <v>45632</v>
      </c>
      <c r="B264" s="1">
        <v>173.01</v>
      </c>
      <c r="C264" s="1">
        <f t="shared" si="18"/>
        <v>-1.0240274599542451E-2</v>
      </c>
      <c r="D264" s="1">
        <f t="shared" si="19"/>
        <v>1.0377238171273277E-4</v>
      </c>
      <c r="E264" s="1">
        <v>250</v>
      </c>
      <c r="F264" s="1" t="str">
        <f t="shared" si="15"/>
        <v/>
      </c>
      <c r="G264" s="1">
        <f t="shared" si="16"/>
        <v>1.0377238171273277E-4</v>
      </c>
    </row>
  </sheetData>
  <mergeCells count="1">
    <mergeCell ref="I13:K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50E7-D894-734E-B799-DAB5478EE237}">
  <dimension ref="A1:B16"/>
  <sheetViews>
    <sheetView workbookViewId="0">
      <selection activeCell="I42" sqref="I42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8" t="s">
        <v>50</v>
      </c>
      <c r="B1" s="8" t="s">
        <v>52</v>
      </c>
    </row>
    <row r="2" spans="1:2" x14ac:dyDescent="0.2">
      <c r="A2" s="1">
        <v>-0.05</v>
      </c>
      <c r="B2" s="1">
        <v>0</v>
      </c>
    </row>
    <row r="3" spans="1:2" x14ac:dyDescent="0.2">
      <c r="A3" s="1">
        <v>-0.04</v>
      </c>
      <c r="B3" s="1">
        <v>4</v>
      </c>
    </row>
    <row r="4" spans="1:2" x14ac:dyDescent="0.2">
      <c r="A4" s="1">
        <v>-0.03</v>
      </c>
      <c r="B4" s="1">
        <v>1</v>
      </c>
    </row>
    <row r="5" spans="1:2" x14ac:dyDescent="0.2">
      <c r="A5" s="1">
        <v>-0.02</v>
      </c>
      <c r="B5" s="1">
        <v>8</v>
      </c>
    </row>
    <row r="6" spans="1:2" x14ac:dyDescent="0.2">
      <c r="A6" s="1">
        <v>-0.01</v>
      </c>
      <c r="B6" s="1">
        <v>35</v>
      </c>
    </row>
    <row r="7" spans="1:2" x14ac:dyDescent="0.2">
      <c r="A7" s="1">
        <v>0</v>
      </c>
      <c r="B7" s="1">
        <v>82</v>
      </c>
    </row>
    <row r="8" spans="1:2" x14ac:dyDescent="0.2">
      <c r="A8" s="1">
        <v>0.01</v>
      </c>
      <c r="B8" s="1">
        <v>68</v>
      </c>
    </row>
    <row r="9" spans="1:2" x14ac:dyDescent="0.2">
      <c r="A9" s="1">
        <v>0.02</v>
      </c>
      <c r="B9" s="1">
        <v>34</v>
      </c>
    </row>
    <row r="10" spans="1:2" x14ac:dyDescent="0.2">
      <c r="A10" s="1">
        <v>0.03</v>
      </c>
      <c r="B10" s="1">
        <v>12</v>
      </c>
    </row>
    <row r="11" spans="1:2" x14ac:dyDescent="0.2">
      <c r="A11" s="1">
        <v>0.04</v>
      </c>
      <c r="B11" s="1">
        <v>2</v>
      </c>
    </row>
    <row r="12" spans="1:2" x14ac:dyDescent="0.2">
      <c r="A12" s="1">
        <v>0.05</v>
      </c>
      <c r="B12" s="1">
        <v>0</v>
      </c>
    </row>
    <row r="13" spans="1:2" x14ac:dyDescent="0.2">
      <c r="A13" s="1">
        <v>0.06</v>
      </c>
      <c r="B13" s="1">
        <v>0</v>
      </c>
    </row>
    <row r="14" spans="1:2" x14ac:dyDescent="0.2">
      <c r="A14" s="1">
        <v>7.0000000000000007E-2</v>
      </c>
      <c r="B14" s="1">
        <v>1</v>
      </c>
    </row>
    <row r="15" spans="1:2" x14ac:dyDescent="0.2">
      <c r="A15" s="1">
        <v>0.08</v>
      </c>
      <c r="B15" s="1">
        <v>1</v>
      </c>
    </row>
    <row r="16" spans="1:2" ht="17" thickBot="1" x14ac:dyDescent="0.25">
      <c r="A16" s="7" t="s">
        <v>51</v>
      </c>
      <c r="B16" s="7">
        <v>0</v>
      </c>
    </row>
  </sheetData>
  <sortState xmlns:xlrd2="http://schemas.microsoft.com/office/spreadsheetml/2017/richdata2" ref="A2:A15">
    <sortCondition ref="A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2047-7884-6F4D-B026-D2CA908E3151}">
  <dimension ref="A2:I275"/>
  <sheetViews>
    <sheetView workbookViewId="0">
      <selection activeCell="A21" sqref="A21"/>
    </sheetView>
  </sheetViews>
  <sheetFormatPr baseColWidth="10" defaultRowHeight="16" x14ac:dyDescent="0.2"/>
  <cols>
    <col min="3" max="3" width="13.33203125" bestFit="1" customWidth="1"/>
    <col min="6" max="6" width="13" bestFit="1" customWidth="1"/>
    <col min="8" max="9" width="12.1640625" bestFit="1" customWidth="1"/>
  </cols>
  <sheetData>
    <row r="2" spans="1:6" x14ac:dyDescent="0.2">
      <c r="A2" t="s">
        <v>25</v>
      </c>
    </row>
    <row r="4" spans="1:6" x14ac:dyDescent="0.2">
      <c r="A4" t="s">
        <v>56</v>
      </c>
    </row>
    <row r="5" spans="1:6" ht="17" thickBot="1" x14ac:dyDescent="0.25"/>
    <row r="6" spans="1:6" x14ac:dyDescent="0.2">
      <c r="A6" s="14" t="s">
        <v>57</v>
      </c>
      <c r="B6" s="14"/>
    </row>
    <row r="7" spans="1:6" x14ac:dyDescent="0.2">
      <c r="A7" t="s">
        <v>58</v>
      </c>
      <c r="B7">
        <v>4.8611957445263115E-2</v>
      </c>
    </row>
    <row r="8" spans="1:6" x14ac:dyDescent="0.2">
      <c r="A8" t="s">
        <v>59</v>
      </c>
      <c r="B8">
        <v>2.363122406660072E-3</v>
      </c>
    </row>
    <row r="9" spans="1:6" x14ac:dyDescent="0.2">
      <c r="A9" t="s">
        <v>60</v>
      </c>
      <c r="B9">
        <v>-1.6923120551014725E-3</v>
      </c>
    </row>
    <row r="10" spans="1:6" x14ac:dyDescent="0.2">
      <c r="A10" t="s">
        <v>34</v>
      </c>
      <c r="B10">
        <v>1.4421854166704213E-2</v>
      </c>
    </row>
    <row r="11" spans="1:6" ht="17" thickBot="1" x14ac:dyDescent="0.25">
      <c r="A11" s="12" t="s">
        <v>61</v>
      </c>
      <c r="B11" s="12">
        <v>248</v>
      </c>
    </row>
    <row r="13" spans="1:6" ht="17" thickBot="1" x14ac:dyDescent="0.25">
      <c r="A13" t="s">
        <v>62</v>
      </c>
    </row>
    <row r="14" spans="1:6" x14ac:dyDescent="0.2">
      <c r="A14" s="13"/>
      <c r="B14" s="13" t="s">
        <v>67</v>
      </c>
      <c r="C14" s="13" t="s">
        <v>68</v>
      </c>
      <c r="D14" s="13" t="s">
        <v>69</v>
      </c>
      <c r="E14" s="13" t="s">
        <v>70</v>
      </c>
      <c r="F14" s="13" t="s">
        <v>71</v>
      </c>
    </row>
    <row r="15" spans="1:6" x14ac:dyDescent="0.2">
      <c r="A15" t="s">
        <v>63</v>
      </c>
      <c r="B15">
        <v>1</v>
      </c>
      <c r="C15">
        <v>1.2119676566416104E-4</v>
      </c>
      <c r="D15">
        <v>1.2119676566416104E-4</v>
      </c>
      <c r="E15">
        <v>0.58270511555341742</v>
      </c>
      <c r="F15">
        <v>0.4459853901067965</v>
      </c>
    </row>
    <row r="16" spans="1:6" x14ac:dyDescent="0.2">
      <c r="A16" t="s">
        <v>64</v>
      </c>
      <c r="B16">
        <v>246</v>
      </c>
      <c r="C16">
        <v>5.1165509890998183E-2</v>
      </c>
      <c r="D16">
        <v>2.0798987760568366E-4</v>
      </c>
    </row>
    <row r="17" spans="1:9" ht="17" thickBot="1" x14ac:dyDescent="0.25">
      <c r="A17" s="12" t="s">
        <v>65</v>
      </c>
      <c r="B17" s="12">
        <v>247</v>
      </c>
      <c r="C17" s="12">
        <v>5.1286706656662344E-2</v>
      </c>
      <c r="D17" s="12"/>
      <c r="E17" s="12"/>
      <c r="F17" s="12"/>
    </row>
    <row r="18" spans="1:9" ht="17" thickBot="1" x14ac:dyDescent="0.25"/>
    <row r="19" spans="1:9" x14ac:dyDescent="0.2">
      <c r="A19" s="13"/>
      <c r="B19" s="13" t="s">
        <v>72</v>
      </c>
      <c r="C19" s="13" t="s">
        <v>34</v>
      </c>
      <c r="D19" s="13" t="s">
        <v>73</v>
      </c>
      <c r="E19" s="13" t="s">
        <v>74</v>
      </c>
      <c r="F19" s="13" t="s">
        <v>75</v>
      </c>
      <c r="G19" s="13" t="s">
        <v>76</v>
      </c>
      <c r="H19" s="13" t="s">
        <v>77</v>
      </c>
      <c r="I19" s="13" t="s">
        <v>78</v>
      </c>
    </row>
    <row r="20" spans="1:9" x14ac:dyDescent="0.2">
      <c r="A20" t="s">
        <v>66</v>
      </c>
      <c r="B20">
        <v>-2.6295975589724533E-5</v>
      </c>
      <c r="C20">
        <v>9.1648777510237368E-4</v>
      </c>
      <c r="D20">
        <v>-2.8692118219238893E-2</v>
      </c>
      <c r="E20">
        <v>0.9771334054506815</v>
      </c>
      <c r="F20">
        <v>-1.8314599492370409E-3</v>
      </c>
      <c r="G20">
        <v>1.7788679980575918E-3</v>
      </c>
      <c r="H20">
        <v>-1.8314599492370409E-3</v>
      </c>
      <c r="I20">
        <v>1.7788679980575918E-3</v>
      </c>
    </row>
    <row r="21" spans="1:9" ht="17" thickBot="1" x14ac:dyDescent="0.25">
      <c r="A21" s="12">
        <v>-1.8715898997590148E-3</v>
      </c>
      <c r="B21" s="12">
        <v>5.9392688938785548E-2</v>
      </c>
      <c r="C21" s="12">
        <v>7.7805190886488934E-2</v>
      </c>
      <c r="D21" s="12">
        <v>0.7633512399633382</v>
      </c>
      <c r="E21" s="12">
        <v>0.44598539010673866</v>
      </c>
      <c r="F21" s="12">
        <v>-9.3856630219185347E-2</v>
      </c>
      <c r="G21" s="12">
        <v>0.21264200809675646</v>
      </c>
      <c r="H21" s="12">
        <v>-9.3856630219185347E-2</v>
      </c>
      <c r="I21" s="12">
        <v>0.21264200809675646</v>
      </c>
    </row>
    <row r="25" spans="1:9" x14ac:dyDescent="0.2">
      <c r="A25" t="s">
        <v>79</v>
      </c>
    </row>
    <row r="26" spans="1:9" ht="17" thickBot="1" x14ac:dyDescent="0.25"/>
    <row r="27" spans="1:9" x14ac:dyDescent="0.2">
      <c r="A27" s="13" t="s">
        <v>80</v>
      </c>
      <c r="B27" s="13" t="s">
        <v>84</v>
      </c>
      <c r="C27" s="13" t="s">
        <v>82</v>
      </c>
    </row>
    <row r="28" spans="1:9" x14ac:dyDescent="0.2">
      <c r="A28">
        <v>1</v>
      </c>
      <c r="B28">
        <v>-7.6316832315538491E-5</v>
      </c>
      <c r="C28">
        <v>-7.4631691618510156E-3</v>
      </c>
    </row>
    <row r="29" spans="1:9" x14ac:dyDescent="0.2">
      <c r="A29">
        <v>2</v>
      </c>
      <c r="B29">
        <v>-2.3316015291360585E-4</v>
      </c>
      <c r="C29">
        <v>-2.3111633015546015E-2</v>
      </c>
    </row>
    <row r="30" spans="1:9" x14ac:dyDescent="0.2">
      <c r="A30">
        <v>3</v>
      </c>
      <c r="B30">
        <v>-1.267719727091924E-4</v>
      </c>
      <c r="C30">
        <v>-1.9461032489903586E-2</v>
      </c>
    </row>
    <row r="31" spans="1:9" x14ac:dyDescent="0.2">
      <c r="A31">
        <v>4</v>
      </c>
      <c r="B31">
        <v>2.4810751435958071E-4</v>
      </c>
      <c r="C31">
        <v>8.5543015660202084E-3</v>
      </c>
    </row>
    <row r="32" spans="1:9" x14ac:dyDescent="0.2">
      <c r="A32">
        <v>5</v>
      </c>
      <c r="B32">
        <v>-3.5330971459482223E-4</v>
      </c>
      <c r="C32">
        <v>1.9606575905994211E-3</v>
      </c>
    </row>
    <row r="33" spans="1:3" x14ac:dyDescent="0.2">
      <c r="A33">
        <v>6</v>
      </c>
      <c r="B33">
        <v>-4.3400000878821173E-4</v>
      </c>
      <c r="C33">
        <v>-2.7755369008862626E-3</v>
      </c>
    </row>
    <row r="34" spans="1:3" x14ac:dyDescent="0.2">
      <c r="A34">
        <v>7</v>
      </c>
      <c r="B34">
        <v>-5.7365875187601371E-4</v>
      </c>
      <c r="C34">
        <v>-1.1512722508837778E-3</v>
      </c>
    </row>
    <row r="35" spans="1:3" x14ac:dyDescent="0.2">
      <c r="A35">
        <v>8</v>
      </c>
      <c r="B35">
        <v>-8.9650791063780068E-4</v>
      </c>
      <c r="C35">
        <v>-1.6612995602782267E-2</v>
      </c>
    </row>
    <row r="36" spans="1:3" x14ac:dyDescent="0.2">
      <c r="A36">
        <v>9</v>
      </c>
      <c r="B36">
        <v>-6.1146976293239555E-4</v>
      </c>
      <c r="C36">
        <v>1.9011871975671642E-3</v>
      </c>
    </row>
    <row r="37" spans="1:3" x14ac:dyDescent="0.2">
      <c r="A37">
        <v>10</v>
      </c>
      <c r="B37">
        <v>8.8841241462692155E-4</v>
      </c>
      <c r="C37">
        <v>-1.862845925303442E-2</v>
      </c>
    </row>
    <row r="38" spans="1:3" x14ac:dyDescent="0.2">
      <c r="A38">
        <v>11</v>
      </c>
      <c r="B38">
        <v>-2.4078040708238853E-4</v>
      </c>
      <c r="C38">
        <v>-1.1501485790688363E-2</v>
      </c>
    </row>
    <row r="39" spans="1:3" x14ac:dyDescent="0.2">
      <c r="A39">
        <v>12</v>
      </c>
      <c r="B39">
        <v>4.668492505247351E-4</v>
      </c>
      <c r="C39">
        <v>-1.1685184594312512E-2</v>
      </c>
    </row>
    <row r="40" spans="1:3" x14ac:dyDescent="0.2">
      <c r="A40">
        <v>13</v>
      </c>
      <c r="B40">
        <v>5.3556872108953329E-4</v>
      </c>
      <c r="C40">
        <v>-2.3655065032050105E-3</v>
      </c>
    </row>
    <row r="41" spans="1:3" x14ac:dyDescent="0.2">
      <c r="A41">
        <v>14</v>
      </c>
      <c r="B41">
        <v>-1.0914996630781462E-5</v>
      </c>
      <c r="C41">
        <v>2.3330856150616287E-3</v>
      </c>
    </row>
    <row r="42" spans="1:3" x14ac:dyDescent="0.2">
      <c r="A42">
        <v>15</v>
      </c>
      <c r="B42">
        <v>9.5687075501073369E-4</v>
      </c>
      <c r="C42">
        <v>6.6641510715957772E-3</v>
      </c>
    </row>
    <row r="43" spans="1:3" x14ac:dyDescent="0.2">
      <c r="A43">
        <v>16</v>
      </c>
      <c r="B43">
        <v>-5.5603755620648459E-5</v>
      </c>
      <c r="C43">
        <v>1.1551943079151703E-2</v>
      </c>
    </row>
    <row r="44" spans="1:3" x14ac:dyDescent="0.2">
      <c r="A44">
        <v>17</v>
      </c>
      <c r="B44">
        <v>-1.6250255307988663E-4</v>
      </c>
      <c r="C44">
        <v>-8.4514832099158547E-3</v>
      </c>
    </row>
    <row r="45" spans="1:3" x14ac:dyDescent="0.2">
      <c r="A45">
        <v>18</v>
      </c>
      <c r="B45">
        <v>-9.3453094300008409E-4</v>
      </c>
      <c r="C45">
        <v>-1.7891270058628929E-2</v>
      </c>
    </row>
    <row r="46" spans="1:3" x14ac:dyDescent="0.2">
      <c r="A46">
        <v>19</v>
      </c>
      <c r="B46">
        <v>-8.8876415879256306E-5</v>
      </c>
      <c r="C46">
        <v>-1.1042050341392757E-2</v>
      </c>
    </row>
    <row r="47" spans="1:3" x14ac:dyDescent="0.2">
      <c r="A47">
        <v>20</v>
      </c>
      <c r="B47">
        <v>6.1173401398375421E-4</v>
      </c>
      <c r="C47">
        <v>1.3567370463628192E-2</v>
      </c>
    </row>
    <row r="48" spans="1:3" x14ac:dyDescent="0.2">
      <c r="A48">
        <v>21</v>
      </c>
      <c r="B48">
        <v>-2.0460944621800256E-4</v>
      </c>
      <c r="C48">
        <v>-1.9724259820399607E-2</v>
      </c>
    </row>
    <row r="49" spans="1:3" x14ac:dyDescent="0.2">
      <c r="A49">
        <v>22</v>
      </c>
      <c r="B49">
        <v>6.6997735485739562E-4</v>
      </c>
      <c r="C49">
        <v>-4.7031736724187465E-2</v>
      </c>
    </row>
    <row r="50" spans="1:3" x14ac:dyDescent="0.2">
      <c r="A50">
        <v>23</v>
      </c>
      <c r="B50">
        <v>-1.4257242901692511E-4</v>
      </c>
      <c r="C50">
        <v>-1.1601293205414202E-2</v>
      </c>
    </row>
    <row r="51" spans="1:3" x14ac:dyDescent="0.2">
      <c r="A51">
        <v>24</v>
      </c>
      <c r="B51">
        <v>-1.9679042584778029E-4</v>
      </c>
      <c r="C51">
        <v>-1.1022754153585251E-2</v>
      </c>
    </row>
    <row r="52" spans="1:3" x14ac:dyDescent="0.2">
      <c r="A52">
        <v>25</v>
      </c>
      <c r="B52">
        <v>6.1109917311997608E-4</v>
      </c>
      <c r="C52">
        <v>5.7001671086041933E-3</v>
      </c>
    </row>
    <row r="53" spans="1:3" x14ac:dyDescent="0.2">
      <c r="A53">
        <v>26</v>
      </c>
      <c r="B53">
        <v>-5.0731609934346261E-5</v>
      </c>
      <c r="C53">
        <v>1.1745165263511291E-4</v>
      </c>
    </row>
    <row r="54" spans="1:3" x14ac:dyDescent="0.2">
      <c r="A54">
        <v>27</v>
      </c>
      <c r="B54">
        <v>-1.8519297301971521E-4</v>
      </c>
      <c r="C54">
        <v>2.9606768795289548E-2</v>
      </c>
    </row>
    <row r="55" spans="1:3" x14ac:dyDescent="0.2">
      <c r="A55">
        <v>28</v>
      </c>
      <c r="B55">
        <v>-7.2863809081822456E-4</v>
      </c>
      <c r="C55">
        <v>1.3690400890558988E-2</v>
      </c>
    </row>
    <row r="56" spans="1:3" x14ac:dyDescent="0.2">
      <c r="A56">
        <v>29</v>
      </c>
      <c r="B56">
        <v>-5.1380162248907107E-4</v>
      </c>
      <c r="C56">
        <v>-2.4932361254315868E-3</v>
      </c>
    </row>
    <row r="57" spans="1:3" x14ac:dyDescent="0.2">
      <c r="A57">
        <v>30</v>
      </c>
      <c r="B57">
        <v>-3.6008165617016545E-4</v>
      </c>
      <c r="C57">
        <v>-3.4581579618184405E-4</v>
      </c>
    </row>
    <row r="58" spans="1:3" x14ac:dyDescent="0.2">
      <c r="A58">
        <v>31</v>
      </c>
      <c r="B58">
        <v>2.7551875393942374E-4</v>
      </c>
      <c r="C58">
        <v>7.9443630852591447E-3</v>
      </c>
    </row>
    <row r="59" spans="1:3" x14ac:dyDescent="0.2">
      <c r="A59">
        <v>32</v>
      </c>
      <c r="B59">
        <v>-1.8596263853837511E-5</v>
      </c>
      <c r="C59">
        <v>-4.9095787627363068E-4</v>
      </c>
    </row>
    <row r="60" spans="1:3" x14ac:dyDescent="0.2">
      <c r="A60">
        <v>33</v>
      </c>
      <c r="B60">
        <v>-6.4315540831914029E-4</v>
      </c>
      <c r="C60">
        <v>-1.1146291443579882E-2</v>
      </c>
    </row>
    <row r="61" spans="1:3" x14ac:dyDescent="0.2">
      <c r="A61">
        <v>34</v>
      </c>
      <c r="B61">
        <v>-3.540079438320907E-4</v>
      </c>
      <c r="C61">
        <v>-1.3446211311987774E-2</v>
      </c>
    </row>
    <row r="62" spans="1:3" x14ac:dyDescent="0.2">
      <c r="A62">
        <v>35</v>
      </c>
      <c r="B62">
        <v>3.6874915737705375E-4</v>
      </c>
      <c r="C62">
        <v>-3.0335976353679413E-4</v>
      </c>
    </row>
    <row r="63" spans="1:3" x14ac:dyDescent="0.2">
      <c r="A63">
        <v>36</v>
      </c>
      <c r="B63">
        <v>-2.8662406933053266E-4</v>
      </c>
      <c r="C63">
        <v>1.0225162058084358E-2</v>
      </c>
    </row>
    <row r="64" spans="1:3" x14ac:dyDescent="0.2">
      <c r="A64">
        <v>37</v>
      </c>
      <c r="B64">
        <v>5.7609917613324968E-5</v>
      </c>
      <c r="C64">
        <v>-2.2588270612103945E-3</v>
      </c>
    </row>
    <row r="65" spans="1:3" x14ac:dyDescent="0.2">
      <c r="A65">
        <v>38</v>
      </c>
      <c r="B65">
        <v>-9.1288489201653809E-4</v>
      </c>
      <c r="C65">
        <v>-1.1609824684936529E-2</v>
      </c>
    </row>
    <row r="66" spans="1:3" x14ac:dyDescent="0.2">
      <c r="A66">
        <v>39</v>
      </c>
      <c r="B66">
        <v>1.6145171823834219E-3</v>
      </c>
      <c r="C66">
        <v>-5.8854942505219702E-3</v>
      </c>
    </row>
    <row r="67" spans="1:3" x14ac:dyDescent="0.2">
      <c r="A67">
        <v>40</v>
      </c>
      <c r="B67">
        <v>1.3443290227086439E-4</v>
      </c>
      <c r="C67">
        <v>-1.4784030368286431E-2</v>
      </c>
    </row>
    <row r="68" spans="1:3" x14ac:dyDescent="0.2">
      <c r="A68">
        <v>41</v>
      </c>
      <c r="B68">
        <v>-3.6896271688529578E-4</v>
      </c>
      <c r="C68">
        <v>1.1056356341101394E-3</v>
      </c>
    </row>
    <row r="69" spans="1:3" x14ac:dyDescent="0.2">
      <c r="A69">
        <v>42</v>
      </c>
      <c r="B69">
        <v>1.8609660514064632E-4</v>
      </c>
      <c r="C69">
        <v>1.2192436879730493E-3</v>
      </c>
    </row>
    <row r="70" spans="1:3" x14ac:dyDescent="0.2">
      <c r="A70">
        <v>43</v>
      </c>
      <c r="B70">
        <v>-2.2831192436110616E-4</v>
      </c>
      <c r="C70">
        <v>-1.2802963135783165E-2</v>
      </c>
    </row>
    <row r="71" spans="1:3" x14ac:dyDescent="0.2">
      <c r="A71">
        <v>44</v>
      </c>
      <c r="B71">
        <v>-3.1122295184940813E-5</v>
      </c>
      <c r="C71">
        <v>-9.6513206596529413E-3</v>
      </c>
    </row>
    <row r="72" spans="1:3" x14ac:dyDescent="0.2">
      <c r="A72">
        <v>45</v>
      </c>
      <c r="B72">
        <v>-9.1939256334740708E-5</v>
      </c>
      <c r="C72">
        <v>4.337962233798068E-4</v>
      </c>
    </row>
    <row r="73" spans="1:3" x14ac:dyDescent="0.2">
      <c r="A73">
        <v>46</v>
      </c>
      <c r="B73">
        <v>-2.3793987095712546E-4</v>
      </c>
      <c r="C73">
        <v>1.0124381463828033E-4</v>
      </c>
    </row>
    <row r="74" spans="1:3" x14ac:dyDescent="0.2">
      <c r="A74">
        <v>47</v>
      </c>
      <c r="B74">
        <v>-2.4451595356462163E-4</v>
      </c>
      <c r="C74">
        <v>1.8290862252013009E-2</v>
      </c>
    </row>
    <row r="75" spans="1:3" x14ac:dyDescent="0.2">
      <c r="A75">
        <v>48</v>
      </c>
      <c r="B75">
        <v>-1.9275475992310505E-4</v>
      </c>
      <c r="C75">
        <v>1.523337787145188E-2</v>
      </c>
    </row>
    <row r="76" spans="1:3" x14ac:dyDescent="0.2">
      <c r="A76">
        <v>49</v>
      </c>
      <c r="B76">
        <v>-3.7381573598891147E-4</v>
      </c>
      <c r="C76">
        <v>-1.14671580021866E-2</v>
      </c>
    </row>
    <row r="77" spans="1:3" x14ac:dyDescent="0.2">
      <c r="A77">
        <v>50</v>
      </c>
      <c r="B77">
        <v>2.5846214682286142E-4</v>
      </c>
      <c r="C77">
        <v>-6.4841951766796482E-3</v>
      </c>
    </row>
    <row r="78" spans="1:3" x14ac:dyDescent="0.2">
      <c r="A78">
        <v>51</v>
      </c>
      <c r="B78">
        <v>1.7306081892640084E-4</v>
      </c>
      <c r="C78">
        <v>2.0372577443114766E-2</v>
      </c>
    </row>
    <row r="79" spans="1:3" x14ac:dyDescent="0.2">
      <c r="A79">
        <v>52</v>
      </c>
      <c r="B79">
        <v>2.8634838566561133E-4</v>
      </c>
      <c r="C79">
        <v>-1.0055325283355312E-2</v>
      </c>
    </row>
    <row r="80" spans="1:3" x14ac:dyDescent="0.2">
      <c r="A80">
        <v>53</v>
      </c>
      <c r="B80">
        <v>-3.1405031262858965E-4</v>
      </c>
      <c r="C80">
        <v>9.846112704309554E-3</v>
      </c>
    </row>
    <row r="81" spans="1:3" x14ac:dyDescent="0.2">
      <c r="A81">
        <v>54</v>
      </c>
      <c r="B81">
        <v>-3.0279462581945718E-4</v>
      </c>
      <c r="C81">
        <v>3.7362710206693107E-3</v>
      </c>
    </row>
    <row r="82" spans="1:3" x14ac:dyDescent="0.2">
      <c r="A82">
        <v>55</v>
      </c>
      <c r="B82">
        <v>-3.0408786720064818E-4</v>
      </c>
      <c r="C82">
        <v>1.6754703120211111E-2</v>
      </c>
    </row>
    <row r="83" spans="1:3" x14ac:dyDescent="0.2">
      <c r="A83">
        <v>56</v>
      </c>
      <c r="B83">
        <v>4.2495609321827903E-5</v>
      </c>
      <c r="C83">
        <v>3.4333111304642068E-2</v>
      </c>
    </row>
    <row r="84" spans="1:3" x14ac:dyDescent="0.2">
      <c r="A84">
        <v>57</v>
      </c>
      <c r="B84">
        <v>5.2232023536035714E-5</v>
      </c>
      <c r="C84">
        <v>-4.4958419872361734E-3</v>
      </c>
    </row>
    <row r="85" spans="1:3" x14ac:dyDescent="0.2">
      <c r="A85">
        <v>58</v>
      </c>
      <c r="B85">
        <v>-3.3411138388171575E-4</v>
      </c>
      <c r="C85">
        <v>-3.6892745468405223E-3</v>
      </c>
    </row>
    <row r="86" spans="1:3" x14ac:dyDescent="0.2">
      <c r="A86">
        <v>59</v>
      </c>
      <c r="B86">
        <v>-1.3485633205131604E-5</v>
      </c>
      <c r="C86">
        <v>1.0680657254741441E-2</v>
      </c>
    </row>
    <row r="87" spans="1:3" x14ac:dyDescent="0.2">
      <c r="A87">
        <v>60</v>
      </c>
      <c r="B87">
        <v>-5.0707282227011464E-4</v>
      </c>
      <c r="C87">
        <v>8.6259836391573419E-3</v>
      </c>
    </row>
    <row r="88" spans="1:3" x14ac:dyDescent="0.2">
      <c r="A88">
        <v>61</v>
      </c>
      <c r="B88">
        <v>-1.9812625447344792E-4</v>
      </c>
      <c r="C88">
        <v>-1.417431830010463E-2</v>
      </c>
    </row>
    <row r="89" spans="1:3" x14ac:dyDescent="0.2">
      <c r="A89">
        <v>62</v>
      </c>
      <c r="B89">
        <v>-1.6973732818575035E-4</v>
      </c>
      <c r="C89">
        <v>2.3111283525545936E-2</v>
      </c>
    </row>
    <row r="90" spans="1:3" x14ac:dyDescent="0.2">
      <c r="A90">
        <v>63</v>
      </c>
      <c r="B90">
        <v>-1.8006991803378572E-4</v>
      </c>
      <c r="C90">
        <v>-1.1716965950230431E-3</v>
      </c>
    </row>
    <row r="91" spans="1:3" x14ac:dyDescent="0.2">
      <c r="A91">
        <v>64</v>
      </c>
      <c r="B91">
        <v>1.3688725430984763E-4</v>
      </c>
      <c r="C91">
        <v>-1.9211732322830959E-3</v>
      </c>
    </row>
    <row r="92" spans="1:3" x14ac:dyDescent="0.2">
      <c r="A92">
        <v>65</v>
      </c>
      <c r="B92">
        <v>-5.1150915490438538E-4</v>
      </c>
      <c r="C92">
        <v>-1.769062837206096E-3</v>
      </c>
    </row>
    <row r="93" spans="1:3" x14ac:dyDescent="0.2">
      <c r="A93">
        <v>66</v>
      </c>
      <c r="B93">
        <v>-3.2827734402244261E-4</v>
      </c>
      <c r="C93">
        <v>-1.401505815302949E-3</v>
      </c>
    </row>
    <row r="94" spans="1:3" x14ac:dyDescent="0.2">
      <c r="A94">
        <v>67</v>
      </c>
      <c r="B94">
        <v>4.1482649476631486E-4</v>
      </c>
      <c r="C94">
        <v>-5.489397941019135E-3</v>
      </c>
    </row>
    <row r="95" spans="1:3" x14ac:dyDescent="0.2">
      <c r="A95">
        <v>68</v>
      </c>
      <c r="B95">
        <v>3.181753936590592E-4</v>
      </c>
      <c r="C95">
        <v>1.5169788778761047E-2</v>
      </c>
    </row>
    <row r="96" spans="1:3" x14ac:dyDescent="0.2">
      <c r="A96">
        <v>69</v>
      </c>
      <c r="B96">
        <v>-2.3598066469138722E-4</v>
      </c>
      <c r="C96">
        <v>-2.4591069256552855E-3</v>
      </c>
    </row>
    <row r="97" spans="1:3" x14ac:dyDescent="0.2">
      <c r="A97">
        <v>70</v>
      </c>
      <c r="B97">
        <v>-1.6157086097803915E-4</v>
      </c>
      <c r="C97">
        <v>-3.2976926922699762E-4</v>
      </c>
    </row>
    <row r="98" spans="1:3" x14ac:dyDescent="0.2">
      <c r="A98">
        <v>71</v>
      </c>
      <c r="B98">
        <v>-2.6231203830198149E-4</v>
      </c>
      <c r="C98">
        <v>-3.7932366897304418E-3</v>
      </c>
    </row>
    <row r="99" spans="1:3" x14ac:dyDescent="0.2">
      <c r="A99">
        <v>72</v>
      </c>
      <c r="B99">
        <v>2.2578667414536744E-4</v>
      </c>
      <c r="C99">
        <v>-2.6937037521315823E-3</v>
      </c>
    </row>
    <row r="100" spans="1:3" x14ac:dyDescent="0.2">
      <c r="A100">
        <v>73</v>
      </c>
      <c r="B100">
        <v>-9.2192551530767943E-4</v>
      </c>
      <c r="C100">
        <v>2.4919946297098844E-2</v>
      </c>
    </row>
    <row r="101" spans="1:3" x14ac:dyDescent="0.2">
      <c r="A101">
        <v>74</v>
      </c>
      <c r="B101">
        <v>2.091951185547852E-4</v>
      </c>
      <c r="C101">
        <v>-1.4101439622058115E-2</v>
      </c>
    </row>
    <row r="102" spans="1:3" x14ac:dyDescent="0.2">
      <c r="A102">
        <v>75</v>
      </c>
      <c r="B102">
        <v>1.3007806651202505E-4</v>
      </c>
      <c r="C102">
        <v>3.1775294307317607E-3</v>
      </c>
    </row>
    <row r="103" spans="1:3" x14ac:dyDescent="0.2">
      <c r="A103">
        <v>76</v>
      </c>
      <c r="B103">
        <v>2.9980933327357893E-4</v>
      </c>
      <c r="C103">
        <v>-1.9652678686143028E-2</v>
      </c>
    </row>
    <row r="104" spans="1:3" x14ac:dyDescent="0.2">
      <c r="A104">
        <v>77</v>
      </c>
      <c r="B104">
        <v>-5.1443743938910566E-6</v>
      </c>
      <c r="C104">
        <v>1.2502418032678067E-3</v>
      </c>
    </row>
    <row r="105" spans="1:3" x14ac:dyDescent="0.2">
      <c r="A105">
        <v>78</v>
      </c>
      <c r="B105">
        <v>1.025821722397389E-4</v>
      </c>
      <c r="C105">
        <v>-2.838390168260544E-3</v>
      </c>
    </row>
    <row r="106" spans="1:3" x14ac:dyDescent="0.2">
      <c r="A106">
        <v>79</v>
      </c>
      <c r="B106">
        <v>-2.730065603053128E-5</v>
      </c>
      <c r="C106">
        <v>-7.0803743860543026E-3</v>
      </c>
    </row>
    <row r="107" spans="1:3" x14ac:dyDescent="0.2">
      <c r="A107">
        <v>80</v>
      </c>
      <c r="B107">
        <v>-2.3225895000316898E-4</v>
      </c>
      <c r="C107">
        <v>2.6103530535560499E-2</v>
      </c>
    </row>
    <row r="108" spans="1:3" x14ac:dyDescent="0.2">
      <c r="A108">
        <v>81</v>
      </c>
      <c r="B108">
        <v>-6.5440063029798294E-4</v>
      </c>
      <c r="C108">
        <v>-2.1259047371171149E-2</v>
      </c>
    </row>
    <row r="109" spans="1:3" x14ac:dyDescent="0.2">
      <c r="A109">
        <v>82</v>
      </c>
      <c r="B109">
        <v>9.5980392599657929E-5</v>
      </c>
      <c r="C109">
        <v>-8.0439120529036939E-3</v>
      </c>
    </row>
    <row r="110" spans="1:3" x14ac:dyDescent="0.2">
      <c r="A110">
        <v>83</v>
      </c>
      <c r="B110">
        <v>-4.7778901390398663E-4</v>
      </c>
      <c r="C110">
        <v>1.9655179879409866E-2</v>
      </c>
    </row>
    <row r="111" spans="1:3" x14ac:dyDescent="0.2">
      <c r="A111">
        <v>84</v>
      </c>
      <c r="B111">
        <v>9.5673184574715951E-6</v>
      </c>
      <c r="C111">
        <v>1.5650249467875788E-2</v>
      </c>
    </row>
    <row r="112" spans="1:3" x14ac:dyDescent="0.2">
      <c r="A112">
        <v>85</v>
      </c>
      <c r="B112">
        <v>-4.6458817300687775E-4</v>
      </c>
      <c r="C112">
        <v>1.6736146464188469E-2</v>
      </c>
    </row>
    <row r="113" spans="1:3" x14ac:dyDescent="0.2">
      <c r="A113">
        <v>86</v>
      </c>
      <c r="B113">
        <v>2.6153727460865916E-4</v>
      </c>
      <c r="C113">
        <v>-4.7590186850188293E-3</v>
      </c>
    </row>
    <row r="114" spans="1:3" x14ac:dyDescent="0.2">
      <c r="A114">
        <v>87</v>
      </c>
      <c r="B114">
        <v>-9.1643169634422034E-4</v>
      </c>
      <c r="C114">
        <v>2.7842520486176154E-2</v>
      </c>
    </row>
    <row r="115" spans="1:3" x14ac:dyDescent="0.2">
      <c r="A115">
        <v>88</v>
      </c>
      <c r="B115">
        <v>9.6806408982744565E-4</v>
      </c>
      <c r="C115">
        <v>-1.9738594357307435E-2</v>
      </c>
    </row>
    <row r="116" spans="1:3" x14ac:dyDescent="0.2">
      <c r="A116">
        <v>89</v>
      </c>
      <c r="B116">
        <v>1.9821035687357435E-4</v>
      </c>
      <c r="C116">
        <v>1.4985912072585966E-2</v>
      </c>
    </row>
    <row r="117" spans="1:3" x14ac:dyDescent="0.2">
      <c r="A117">
        <v>90</v>
      </c>
      <c r="B117">
        <v>4.5193805610778587E-5</v>
      </c>
      <c r="C117">
        <v>2.0741521540049341E-2</v>
      </c>
    </row>
    <row r="118" spans="1:3" x14ac:dyDescent="0.2">
      <c r="A118">
        <v>91</v>
      </c>
      <c r="B118">
        <v>1.2875234933419641E-4</v>
      </c>
      <c r="C118">
        <v>1.1927780676336432E-2</v>
      </c>
    </row>
    <row r="119" spans="1:3" x14ac:dyDescent="0.2">
      <c r="A119">
        <v>92</v>
      </c>
      <c r="B119">
        <v>-1.2052392583696189E-5</v>
      </c>
      <c r="C119">
        <v>-3.2994487143820457E-4</v>
      </c>
    </row>
    <row r="120" spans="1:3" x14ac:dyDescent="0.2">
      <c r="A120">
        <v>93</v>
      </c>
      <c r="B120">
        <v>-2.6125874630540224E-4</v>
      </c>
      <c r="C120">
        <v>5.7921060493045977E-3</v>
      </c>
    </row>
    <row r="121" spans="1:3" x14ac:dyDescent="0.2">
      <c r="A121">
        <v>94</v>
      </c>
      <c r="B121">
        <v>-6.7143767156974994E-5</v>
      </c>
      <c r="C121">
        <v>2.5868107759218283E-2</v>
      </c>
    </row>
    <row r="122" spans="1:3" x14ac:dyDescent="0.2">
      <c r="A122">
        <v>95</v>
      </c>
      <c r="B122">
        <v>-5.2702580318789139E-4</v>
      </c>
      <c r="C122">
        <v>-1.5183031078126864E-3</v>
      </c>
    </row>
    <row r="123" spans="1:3" x14ac:dyDescent="0.2">
      <c r="A123">
        <v>96</v>
      </c>
      <c r="B123">
        <v>-2.6295975589724533E-5</v>
      </c>
      <c r="C123">
        <v>3.032582533275596E-4</v>
      </c>
    </row>
    <row r="124" spans="1:3" x14ac:dyDescent="0.2">
      <c r="A124">
        <v>97</v>
      </c>
      <c r="B124">
        <v>-1.3244636532935231E-4</v>
      </c>
      <c r="C124">
        <v>-2.0467841595685151E-2</v>
      </c>
    </row>
    <row r="125" spans="1:3" x14ac:dyDescent="0.2">
      <c r="A125">
        <v>98</v>
      </c>
      <c r="B125">
        <v>5.4724433150150408E-7</v>
      </c>
      <c r="C125">
        <v>1.0063910518870877E-2</v>
      </c>
    </row>
    <row r="126" spans="1:3" x14ac:dyDescent="0.2">
      <c r="A126">
        <v>99</v>
      </c>
      <c r="B126">
        <v>-3.8026001405866872E-4</v>
      </c>
      <c r="C126">
        <v>2.8992927055052488E-3</v>
      </c>
    </row>
    <row r="127" spans="1:3" x14ac:dyDescent="0.2">
      <c r="A127">
        <v>100</v>
      </c>
      <c r="B127">
        <v>-2.204304421436998E-4</v>
      </c>
      <c r="C127">
        <v>-8.6577872137835066E-3</v>
      </c>
    </row>
    <row r="128" spans="1:3" x14ac:dyDescent="0.2">
      <c r="A128">
        <v>101</v>
      </c>
      <c r="B128">
        <v>2.3201009138007578E-4</v>
      </c>
      <c r="C128">
        <v>-1.4203841077295512E-2</v>
      </c>
    </row>
    <row r="129" spans="1:3" x14ac:dyDescent="0.2">
      <c r="A129">
        <v>102</v>
      </c>
      <c r="B129">
        <v>-1.4244518131590372E-4</v>
      </c>
      <c r="C129">
        <v>6.7131228181572774E-3</v>
      </c>
    </row>
    <row r="130" spans="1:3" x14ac:dyDescent="0.2">
      <c r="A130">
        <v>103</v>
      </c>
      <c r="B130">
        <v>1.8775419886030956E-4</v>
      </c>
      <c r="C130">
        <v>-5.7505628495953375E-3</v>
      </c>
    </row>
    <row r="131" spans="1:3" x14ac:dyDescent="0.2">
      <c r="A131">
        <v>104</v>
      </c>
      <c r="B131">
        <v>-2.0023429584973805E-4</v>
      </c>
      <c r="C131">
        <v>2.5144580434327986E-2</v>
      </c>
    </row>
    <row r="132" spans="1:3" x14ac:dyDescent="0.2">
      <c r="A132">
        <v>105</v>
      </c>
      <c r="B132">
        <v>-3.7623279347126997E-4</v>
      </c>
      <c r="C132">
        <v>1.4900666094658603E-3</v>
      </c>
    </row>
    <row r="133" spans="1:3" x14ac:dyDescent="0.2">
      <c r="A133">
        <v>106</v>
      </c>
      <c r="B133">
        <v>1.3396641006719784E-5</v>
      </c>
      <c r="C133">
        <v>3.1018681565010814E-3</v>
      </c>
    </row>
    <row r="134" spans="1:3" x14ac:dyDescent="0.2">
      <c r="A134">
        <v>107</v>
      </c>
      <c r="B134">
        <v>4.5387269311289219E-4</v>
      </c>
      <c r="C134">
        <v>6.5526661478427421E-4</v>
      </c>
    </row>
    <row r="135" spans="1:3" x14ac:dyDescent="0.2">
      <c r="A135">
        <v>108</v>
      </c>
      <c r="B135">
        <v>-5.357489369531423E-4</v>
      </c>
      <c r="C135">
        <v>4.9673908602856425E-3</v>
      </c>
    </row>
    <row r="136" spans="1:3" x14ac:dyDescent="0.2">
      <c r="A136">
        <v>109</v>
      </c>
      <c r="B136">
        <v>-2.8844849068899509E-4</v>
      </c>
      <c r="C136">
        <v>-1.0190263179286771E-2</v>
      </c>
    </row>
    <row r="137" spans="1:3" x14ac:dyDescent="0.2">
      <c r="A137">
        <v>110</v>
      </c>
      <c r="B137">
        <v>9.7965652911977139E-7</v>
      </c>
      <c r="C137">
        <v>1.4880304481248254E-2</v>
      </c>
    </row>
    <row r="138" spans="1:3" x14ac:dyDescent="0.2">
      <c r="A138">
        <v>111</v>
      </c>
      <c r="B138">
        <v>-3.2199587991233798E-4</v>
      </c>
      <c r="C138">
        <v>-1.0222240486719636E-2</v>
      </c>
    </row>
    <row r="139" spans="1:3" x14ac:dyDescent="0.2">
      <c r="A139">
        <v>112</v>
      </c>
      <c r="B139">
        <v>-3.1926014324676057E-4</v>
      </c>
      <c r="C139">
        <v>-9.9488200032814885E-3</v>
      </c>
    </row>
    <row r="140" spans="1:3" x14ac:dyDescent="0.2">
      <c r="A140">
        <v>113</v>
      </c>
      <c r="B140">
        <v>-4.922788063713709E-4</v>
      </c>
      <c r="C140">
        <v>-3.5454062541938991E-3</v>
      </c>
    </row>
    <row r="141" spans="1:3" x14ac:dyDescent="0.2">
      <c r="A141">
        <v>114</v>
      </c>
      <c r="B141">
        <v>-5.6183923151519495E-5</v>
      </c>
      <c r="C141">
        <v>2.6462740132416548E-3</v>
      </c>
    </row>
    <row r="142" spans="1:3" x14ac:dyDescent="0.2">
      <c r="A142">
        <v>115</v>
      </c>
      <c r="B142">
        <v>-6.7241427181479764E-4</v>
      </c>
      <c r="C142">
        <v>1.7296024290909529E-2</v>
      </c>
    </row>
    <row r="143" spans="1:3" x14ac:dyDescent="0.2">
      <c r="A143">
        <v>116</v>
      </c>
      <c r="B143">
        <v>-6.3093358840458848E-4</v>
      </c>
      <c r="C143">
        <v>6.3093358840458848E-4</v>
      </c>
    </row>
    <row r="144" spans="1:3" x14ac:dyDescent="0.2">
      <c r="A144">
        <v>117</v>
      </c>
      <c r="B144">
        <v>1.3841707226798489E-4</v>
      </c>
      <c r="C144">
        <v>-1.5274866083427022E-2</v>
      </c>
    </row>
    <row r="145" spans="1:3" x14ac:dyDescent="0.2">
      <c r="A145">
        <v>118</v>
      </c>
      <c r="B145">
        <v>-1.4330196393645448E-5</v>
      </c>
      <c r="C145">
        <v>1.7458799570411958E-2</v>
      </c>
    </row>
    <row r="146" spans="1:3" x14ac:dyDescent="0.2">
      <c r="A146">
        <v>119</v>
      </c>
      <c r="B146">
        <v>4.8377857325279639E-4</v>
      </c>
      <c r="C146">
        <v>-6.3275406329031296E-3</v>
      </c>
    </row>
    <row r="147" spans="1:3" x14ac:dyDescent="0.2">
      <c r="A147">
        <v>120</v>
      </c>
      <c r="B147">
        <v>-5.9456967465361236E-4</v>
      </c>
      <c r="C147">
        <v>2.3136402674555521E-3</v>
      </c>
    </row>
    <row r="148" spans="1:3" x14ac:dyDescent="0.2">
      <c r="A148">
        <v>121</v>
      </c>
      <c r="B148">
        <v>6.4218750821314703E-4</v>
      </c>
      <c r="C148">
        <v>-9.1674310866010581E-3</v>
      </c>
    </row>
    <row r="149" spans="1:3" x14ac:dyDescent="0.2">
      <c r="A149">
        <v>122</v>
      </c>
      <c r="B149">
        <v>-2.4915582785975014E-4</v>
      </c>
      <c r="C149">
        <v>6.2793065816286646E-3</v>
      </c>
    </row>
    <row r="150" spans="1:3" x14ac:dyDescent="0.2">
      <c r="A150">
        <v>123</v>
      </c>
      <c r="B150">
        <v>1.3796626933276852E-4</v>
      </c>
      <c r="C150">
        <v>-2.2469683783348524E-3</v>
      </c>
    </row>
    <row r="151" spans="1:3" x14ac:dyDescent="0.2">
      <c r="A151">
        <v>124</v>
      </c>
      <c r="B151">
        <v>-3.6253590861400498E-4</v>
      </c>
      <c r="C151">
        <v>-1.2503673171925603E-3</v>
      </c>
    </row>
    <row r="152" spans="1:3" x14ac:dyDescent="0.2">
      <c r="A152">
        <v>125</v>
      </c>
      <c r="B152">
        <v>-9.0241825831308074E-5</v>
      </c>
      <c r="C152">
        <v>2.5970659581917173E-3</v>
      </c>
    </row>
    <row r="153" spans="1:3" x14ac:dyDescent="0.2">
      <c r="A153">
        <v>126</v>
      </c>
      <c r="B153">
        <v>-6.2738383952993236E-4</v>
      </c>
      <c r="C153">
        <v>1.1074149787518348E-2</v>
      </c>
    </row>
    <row r="154" spans="1:3" x14ac:dyDescent="0.2">
      <c r="A154">
        <v>127</v>
      </c>
      <c r="B154">
        <v>2.532067682812024E-4</v>
      </c>
      <c r="C154">
        <v>-4.817659034009384E-3</v>
      </c>
    </row>
    <row r="155" spans="1:3" x14ac:dyDescent="0.2">
      <c r="A155">
        <v>128</v>
      </c>
      <c r="B155">
        <v>1.1887454414456677E-5</v>
      </c>
      <c r="C155">
        <v>2.7503908727497888E-3</v>
      </c>
    </row>
    <row r="156" spans="1:3" x14ac:dyDescent="0.2">
      <c r="A156">
        <v>129</v>
      </c>
      <c r="B156">
        <v>-3.6209427563279294E-4</v>
      </c>
      <c r="C156">
        <v>-6.8000455513738903E-3</v>
      </c>
    </row>
    <row r="157" spans="1:3" x14ac:dyDescent="0.2">
      <c r="A157">
        <v>130</v>
      </c>
      <c r="B157">
        <v>-3.6948589653640622E-4</v>
      </c>
      <c r="C157">
        <v>1.2573389568549045E-3</v>
      </c>
    </row>
    <row r="158" spans="1:3" x14ac:dyDescent="0.2">
      <c r="A158">
        <v>131</v>
      </c>
      <c r="B158">
        <v>3.5462274908322859E-5</v>
      </c>
      <c r="C158">
        <v>4.399865107694011E-3</v>
      </c>
    </row>
    <row r="159" spans="1:3" x14ac:dyDescent="0.2">
      <c r="A159">
        <v>132</v>
      </c>
      <c r="B159">
        <v>-2.5434380646522129E-4</v>
      </c>
      <c r="C159">
        <v>-5.7621048329340998E-3</v>
      </c>
    </row>
    <row r="160" spans="1:3" x14ac:dyDescent="0.2">
      <c r="A160">
        <v>133</v>
      </c>
      <c r="B160">
        <v>3.143294562802701E-4</v>
      </c>
      <c r="C160">
        <v>1.0902907327371338E-2</v>
      </c>
    </row>
    <row r="161" spans="1:3" x14ac:dyDescent="0.2">
      <c r="A161">
        <v>134</v>
      </c>
      <c r="B161">
        <v>-1.2215831872549085E-3</v>
      </c>
      <c r="C161">
        <v>1.4895388788572916E-2</v>
      </c>
    </row>
    <row r="162" spans="1:3" x14ac:dyDescent="0.2">
      <c r="A162">
        <v>135</v>
      </c>
      <c r="B162">
        <v>3.7769775172180939E-4</v>
      </c>
      <c r="C162">
        <v>-1.4408793694080569E-2</v>
      </c>
    </row>
    <row r="163" spans="1:3" x14ac:dyDescent="0.2">
      <c r="A163">
        <v>136</v>
      </c>
      <c r="B163">
        <v>-5.4161551708137568E-5</v>
      </c>
      <c r="C163">
        <v>-8.249593274127228E-4</v>
      </c>
    </row>
    <row r="164" spans="1:3" x14ac:dyDescent="0.2">
      <c r="A164">
        <v>137</v>
      </c>
      <c r="B164">
        <v>9.8291137494727608E-4</v>
      </c>
      <c r="C164">
        <v>5.2863363153298161E-3</v>
      </c>
    </row>
    <row r="165" spans="1:3" x14ac:dyDescent="0.2">
      <c r="A165">
        <v>138</v>
      </c>
      <c r="B165">
        <v>1.8533125537466188E-4</v>
      </c>
      <c r="C165">
        <v>1.6428506322502815E-2</v>
      </c>
    </row>
    <row r="166" spans="1:3" x14ac:dyDescent="0.2">
      <c r="A166">
        <v>139</v>
      </c>
      <c r="B166">
        <v>-8.6390127170607017E-5</v>
      </c>
      <c r="C166">
        <v>-9.2136851335541427E-3</v>
      </c>
    </row>
    <row r="167" spans="1:3" x14ac:dyDescent="0.2">
      <c r="A167">
        <v>140</v>
      </c>
      <c r="B167">
        <v>-4.0691317446819311E-4</v>
      </c>
      <c r="C167">
        <v>-8.3835800698749859E-3</v>
      </c>
    </row>
    <row r="168" spans="1:3" x14ac:dyDescent="0.2">
      <c r="A168">
        <v>141</v>
      </c>
      <c r="B168">
        <v>-3.1690240464800096E-4</v>
      </c>
      <c r="C168">
        <v>-1.0850777017260315E-2</v>
      </c>
    </row>
    <row r="169" spans="1:3" x14ac:dyDescent="0.2">
      <c r="A169">
        <v>142</v>
      </c>
      <c r="B169">
        <v>-9.9304812638013017E-5</v>
      </c>
      <c r="C169">
        <v>-1.4959101875066126E-2</v>
      </c>
    </row>
    <row r="170" spans="1:3" x14ac:dyDescent="0.2">
      <c r="A170">
        <v>143</v>
      </c>
      <c r="B170">
        <v>-4.1394056539997988E-4</v>
      </c>
      <c r="C170">
        <v>2.830892957058722E-3</v>
      </c>
    </row>
    <row r="171" spans="1:3" x14ac:dyDescent="0.2">
      <c r="A171">
        <v>144</v>
      </c>
      <c r="B171">
        <v>-1.940462975268646E-3</v>
      </c>
      <c r="C171">
        <v>2.0556589475212536E-2</v>
      </c>
    </row>
    <row r="172" spans="1:3" x14ac:dyDescent="0.2">
      <c r="A172">
        <v>145</v>
      </c>
      <c r="B172">
        <v>5.3189177767191004E-5</v>
      </c>
      <c r="C172">
        <v>-3.9065415943695721E-3</v>
      </c>
    </row>
    <row r="173" spans="1:3" x14ac:dyDescent="0.2">
      <c r="A173">
        <v>146</v>
      </c>
      <c r="B173">
        <v>-4.1973932145650771E-4</v>
      </c>
      <c r="C173">
        <v>-8.0904286714702182E-3</v>
      </c>
    </row>
    <row r="174" spans="1:3" x14ac:dyDescent="0.2">
      <c r="A174">
        <v>147</v>
      </c>
      <c r="B174">
        <v>-2.9381496057284776E-4</v>
      </c>
      <c r="C174">
        <v>-4.3012393934756449E-2</v>
      </c>
    </row>
    <row r="175" spans="1:3" x14ac:dyDescent="0.2">
      <c r="A175">
        <v>148</v>
      </c>
      <c r="B175">
        <v>4.8324290001625553E-4</v>
      </c>
      <c r="C175">
        <v>1.6723061824189586E-3</v>
      </c>
    </row>
    <row r="176" spans="1:3" x14ac:dyDescent="0.2">
      <c r="A176">
        <v>149</v>
      </c>
      <c r="B176">
        <v>2.8628498266420038E-4</v>
      </c>
      <c r="C176">
        <v>1.1670343988030708E-3</v>
      </c>
    </row>
    <row r="177" spans="1:3" x14ac:dyDescent="0.2">
      <c r="A177">
        <v>150</v>
      </c>
      <c r="B177">
        <v>-8.6619026887239708E-4</v>
      </c>
      <c r="C177">
        <v>1.1779291795545616E-2</v>
      </c>
    </row>
    <row r="178" spans="1:3" x14ac:dyDescent="0.2">
      <c r="A178">
        <v>151</v>
      </c>
      <c r="B178">
        <v>-4.441199517811349E-4</v>
      </c>
      <c r="C178">
        <v>-1.0488458822700813E-3</v>
      </c>
    </row>
    <row r="179" spans="1:3" x14ac:dyDescent="0.2">
      <c r="A179">
        <v>152</v>
      </c>
      <c r="B179">
        <v>-5.5598494208875909E-5</v>
      </c>
      <c r="C179">
        <v>-2.5897520147334413E-3</v>
      </c>
    </row>
    <row r="180" spans="1:3" x14ac:dyDescent="0.2">
      <c r="A180">
        <v>153</v>
      </c>
      <c r="B180">
        <v>-3.8396316468936834E-4</v>
      </c>
      <c r="C180">
        <v>8.45244373246043E-4</v>
      </c>
    </row>
    <row r="181" spans="1:3" x14ac:dyDescent="0.2">
      <c r="A181">
        <v>154</v>
      </c>
      <c r="B181">
        <v>-6.2869281320572845E-5</v>
      </c>
      <c r="C181">
        <v>-1.9878344481574821E-2</v>
      </c>
    </row>
    <row r="182" spans="1:3" x14ac:dyDescent="0.2">
      <c r="A182">
        <v>155</v>
      </c>
      <c r="B182">
        <v>-4.5954351271946533E-4</v>
      </c>
      <c r="C182">
        <v>5.6344920572651601E-3</v>
      </c>
    </row>
    <row r="183" spans="1:3" x14ac:dyDescent="0.2">
      <c r="A183">
        <v>156</v>
      </c>
      <c r="B183">
        <v>-1.2487788409803898E-3</v>
      </c>
      <c r="C183">
        <v>1.0667839275076132E-2</v>
      </c>
    </row>
    <row r="184" spans="1:3" x14ac:dyDescent="0.2">
      <c r="A184">
        <v>157</v>
      </c>
      <c r="B184">
        <v>-9.6606908129379001E-4</v>
      </c>
      <c r="C184">
        <v>4.8492266099828818E-3</v>
      </c>
    </row>
    <row r="185" spans="1:3" x14ac:dyDescent="0.2">
      <c r="A185">
        <v>158</v>
      </c>
      <c r="B185">
        <v>-1.48822810122765E-3</v>
      </c>
      <c r="C185">
        <v>-1.5716414213172443E-3</v>
      </c>
    </row>
    <row r="186" spans="1:3" x14ac:dyDescent="0.2">
      <c r="A186">
        <v>159</v>
      </c>
      <c r="B186">
        <v>1.4232008305062381E-3</v>
      </c>
      <c r="C186">
        <v>-2.4355792908338114E-2</v>
      </c>
    </row>
    <row r="187" spans="1:3" x14ac:dyDescent="0.2">
      <c r="A187">
        <v>160</v>
      </c>
      <c r="B187">
        <v>-1.0778605874378264E-4</v>
      </c>
      <c r="C187">
        <v>1.8540692649545193E-2</v>
      </c>
    </row>
    <row r="188" spans="1:3" x14ac:dyDescent="0.2">
      <c r="A188">
        <v>161</v>
      </c>
      <c r="B188">
        <v>1.3077738323697592E-3</v>
      </c>
      <c r="C188">
        <v>-1.0167885562248314E-3</v>
      </c>
    </row>
    <row r="189" spans="1:3" x14ac:dyDescent="0.2">
      <c r="A189">
        <v>162</v>
      </c>
      <c r="B189">
        <v>1.4178741398782879E-4</v>
      </c>
      <c r="C189">
        <v>1.1901498599509921E-2</v>
      </c>
    </row>
    <row r="190" spans="1:3" x14ac:dyDescent="0.2">
      <c r="A190">
        <v>163</v>
      </c>
      <c r="B190">
        <v>-6.1714802269164553E-4</v>
      </c>
      <c r="C190">
        <v>4.2270184232350797E-5</v>
      </c>
    </row>
    <row r="191" spans="1:3" x14ac:dyDescent="0.2">
      <c r="A191">
        <v>164</v>
      </c>
      <c r="B191">
        <v>-1.0542346501377609E-3</v>
      </c>
      <c r="C191">
        <v>-5.1580172911908796E-3</v>
      </c>
    </row>
    <row r="192" spans="1:3" x14ac:dyDescent="0.2">
      <c r="A192">
        <v>165</v>
      </c>
      <c r="B192">
        <v>2.0719870813866322E-3</v>
      </c>
      <c r="C192">
        <v>-1.7294537292650299E-2</v>
      </c>
    </row>
    <row r="193" spans="1:3" x14ac:dyDescent="0.2">
      <c r="A193">
        <v>166</v>
      </c>
      <c r="B193">
        <v>-5.0660674197846485E-3</v>
      </c>
      <c r="C193">
        <v>8.4162496226765117E-3</v>
      </c>
    </row>
    <row r="194" spans="1:3" x14ac:dyDescent="0.2">
      <c r="A194">
        <v>167</v>
      </c>
      <c r="B194">
        <v>8.6059159159590753E-4</v>
      </c>
      <c r="C194">
        <v>-4.2861646011372226E-2</v>
      </c>
    </row>
    <row r="195" spans="1:3" x14ac:dyDescent="0.2">
      <c r="A195">
        <v>168</v>
      </c>
      <c r="B195">
        <v>2.2374051705652311E-4</v>
      </c>
      <c r="C195">
        <v>3.536388330586155E-2</v>
      </c>
    </row>
    <row r="196" spans="1:3" x14ac:dyDescent="0.2">
      <c r="A196">
        <v>169</v>
      </c>
      <c r="B196">
        <v>3.6276712084521681E-3</v>
      </c>
      <c r="C196">
        <v>1.5621265966795771E-2</v>
      </c>
    </row>
    <row r="197" spans="1:3" x14ac:dyDescent="0.2">
      <c r="A197">
        <v>170</v>
      </c>
      <c r="B197">
        <v>2.9492024157616041E-3</v>
      </c>
      <c r="C197">
        <v>6.6451793992534008E-2</v>
      </c>
    </row>
    <row r="198" spans="1:3" x14ac:dyDescent="0.2">
      <c r="A198">
        <v>171</v>
      </c>
      <c r="B198">
        <v>-3.8207181464999367E-4</v>
      </c>
      <c r="C198">
        <v>-2.272316051005373E-3</v>
      </c>
    </row>
    <row r="199" spans="1:3" x14ac:dyDescent="0.2">
      <c r="A199">
        <v>172</v>
      </c>
      <c r="B199">
        <v>-2.4405951572608058E-4</v>
      </c>
      <c r="C199">
        <v>-2.4477867883153934E-4</v>
      </c>
    </row>
    <row r="200" spans="1:3" x14ac:dyDescent="0.2">
      <c r="A200">
        <v>173</v>
      </c>
      <c r="B200">
        <v>-3.8553298073946762E-4</v>
      </c>
      <c r="C200">
        <v>-7.3310195678966362E-3</v>
      </c>
    </row>
    <row r="201" spans="1:3" x14ac:dyDescent="0.2">
      <c r="A201">
        <v>174</v>
      </c>
      <c r="B201">
        <v>1.1831262222657334E-3</v>
      </c>
      <c r="C201">
        <v>-2.3143695773196679E-2</v>
      </c>
    </row>
    <row r="202" spans="1:3" x14ac:dyDescent="0.2">
      <c r="A202">
        <v>175</v>
      </c>
      <c r="B202">
        <v>1.3762656201249187E-4</v>
      </c>
      <c r="C202">
        <v>3.9499483301986601E-3</v>
      </c>
    </row>
    <row r="203" spans="1:3" x14ac:dyDescent="0.2">
      <c r="A203">
        <v>176</v>
      </c>
      <c r="B203">
        <v>6.7560203246368558E-4</v>
      </c>
      <c r="C203">
        <v>-2.8523843665734396E-4</v>
      </c>
    </row>
    <row r="204" spans="1:3" x14ac:dyDescent="0.2">
      <c r="A204">
        <v>177</v>
      </c>
      <c r="B204">
        <v>-1.675215290023478E-4</v>
      </c>
      <c r="C204">
        <v>-2.5530677924701789E-2</v>
      </c>
    </row>
    <row r="205" spans="1:3" x14ac:dyDescent="0.2">
      <c r="A205">
        <v>178</v>
      </c>
      <c r="B205">
        <v>-1.0512060413665784E-3</v>
      </c>
      <c r="C205">
        <v>-1.0162891681485053E-2</v>
      </c>
    </row>
    <row r="206" spans="1:3" x14ac:dyDescent="0.2">
      <c r="A206">
        <v>179</v>
      </c>
      <c r="B206">
        <v>-4.1276960013252063E-5</v>
      </c>
      <c r="C206">
        <v>1.3721414432907558E-3</v>
      </c>
    </row>
    <row r="207" spans="1:3" x14ac:dyDescent="0.2">
      <c r="A207">
        <v>180</v>
      </c>
      <c r="B207">
        <v>1.1087224984434379E-4</v>
      </c>
      <c r="C207">
        <v>1.2891150286994718E-2</v>
      </c>
    </row>
    <row r="208" spans="1:3" x14ac:dyDescent="0.2">
      <c r="A208">
        <v>181</v>
      </c>
      <c r="B208">
        <v>-6.4385573858959284E-4</v>
      </c>
      <c r="C208">
        <v>1.1311283006130813E-2</v>
      </c>
    </row>
    <row r="209" spans="1:3" x14ac:dyDescent="0.2">
      <c r="A209">
        <v>182</v>
      </c>
      <c r="B209">
        <v>6.0704940031303155E-4</v>
      </c>
      <c r="C209">
        <v>-3.2598687263840306E-3</v>
      </c>
    </row>
    <row r="210" spans="1:3" x14ac:dyDescent="0.2">
      <c r="A210">
        <v>183</v>
      </c>
      <c r="B210">
        <v>-4.7588344146905318E-4</v>
      </c>
      <c r="C210">
        <v>3.2489451279433547E-3</v>
      </c>
    </row>
    <row r="211" spans="1:3" x14ac:dyDescent="0.2">
      <c r="A211">
        <v>184</v>
      </c>
      <c r="B211">
        <v>-1.2208233505631534E-3</v>
      </c>
      <c r="C211">
        <v>-6.4545533636982903E-3</v>
      </c>
    </row>
    <row r="212" spans="1:3" x14ac:dyDescent="0.2">
      <c r="A212">
        <v>185</v>
      </c>
      <c r="B212">
        <v>7.5881173589030808E-4</v>
      </c>
      <c r="C212">
        <v>-3.6593406558699435E-3</v>
      </c>
    </row>
    <row r="213" spans="1:3" x14ac:dyDescent="0.2">
      <c r="A213">
        <v>186</v>
      </c>
      <c r="B213">
        <v>-3.1220242592870461E-4</v>
      </c>
      <c r="C213">
        <v>-1.2122203232296295E-2</v>
      </c>
    </row>
    <row r="214" spans="1:3" x14ac:dyDescent="0.2">
      <c r="A214">
        <v>187</v>
      </c>
      <c r="B214">
        <v>4.6502755186044581E-4</v>
      </c>
      <c r="C214">
        <v>2.0038611122045132E-2</v>
      </c>
    </row>
    <row r="215" spans="1:3" x14ac:dyDescent="0.2">
      <c r="A215">
        <v>188</v>
      </c>
      <c r="B215">
        <v>1.5867698678396602E-3</v>
      </c>
      <c r="C215">
        <v>7.4591848050548526E-2</v>
      </c>
    </row>
    <row r="216" spans="1:3" x14ac:dyDescent="0.2">
      <c r="A216">
        <v>189</v>
      </c>
      <c r="B216">
        <v>-3.4558715830928279E-4</v>
      </c>
      <c r="C216">
        <v>6.2882639923876179E-3</v>
      </c>
    </row>
    <row r="217" spans="1:3" x14ac:dyDescent="0.2">
      <c r="A217">
        <v>190</v>
      </c>
      <c r="B217">
        <v>1.0710811114074232E-3</v>
      </c>
      <c r="C217">
        <v>-4.1692160157831573E-2</v>
      </c>
    </row>
    <row r="218" spans="1:3" x14ac:dyDescent="0.2">
      <c r="A218">
        <v>191</v>
      </c>
      <c r="B218">
        <v>-6.846251145288003E-4</v>
      </c>
      <c r="C218">
        <v>-3.1357225465821023E-2</v>
      </c>
    </row>
    <row r="219" spans="1:3" x14ac:dyDescent="0.2">
      <c r="A219">
        <v>192</v>
      </c>
      <c r="B219">
        <v>6.9818429253643097E-4</v>
      </c>
      <c r="C219">
        <v>-4.1322888919846394E-3</v>
      </c>
    </row>
    <row r="220" spans="1:3" x14ac:dyDescent="0.2">
      <c r="A220">
        <v>193</v>
      </c>
      <c r="B220">
        <v>1.0143881020742804E-3</v>
      </c>
      <c r="C220">
        <v>4.5217095140142397E-3</v>
      </c>
    </row>
    <row r="221" spans="1:3" x14ac:dyDescent="0.2">
      <c r="A221">
        <v>194</v>
      </c>
      <c r="B221">
        <v>-9.3493103049002886E-4</v>
      </c>
      <c r="C221">
        <v>-2.384034986838636E-2</v>
      </c>
    </row>
    <row r="222" spans="1:3" x14ac:dyDescent="0.2">
      <c r="A222">
        <v>195</v>
      </c>
      <c r="B222">
        <v>9.421478771479998E-4</v>
      </c>
      <c r="C222">
        <v>-1.0850552739179216E-2</v>
      </c>
    </row>
    <row r="223" spans="1:3" x14ac:dyDescent="0.2">
      <c r="A223">
        <v>196</v>
      </c>
      <c r="B223">
        <v>-6.2482278692953049E-5</v>
      </c>
      <c r="C223">
        <v>-5.775363400305801E-4</v>
      </c>
    </row>
    <row r="224" spans="1:3" x14ac:dyDescent="0.2">
      <c r="A224">
        <v>197</v>
      </c>
      <c r="B224">
        <v>2.699542740587582E-4</v>
      </c>
      <c r="C224">
        <v>1.3062602782299071E-2</v>
      </c>
    </row>
    <row r="225" spans="1:3" x14ac:dyDescent="0.2">
      <c r="A225">
        <v>198</v>
      </c>
      <c r="B225">
        <v>2.5647436329162928E-4</v>
      </c>
      <c r="C225">
        <v>-8.5299589941448192E-3</v>
      </c>
    </row>
    <row r="226" spans="1:3" x14ac:dyDescent="0.2">
      <c r="A226">
        <v>199</v>
      </c>
      <c r="B226">
        <v>1.0016314240350521E-3</v>
      </c>
      <c r="C226">
        <v>-9.5758739360564775E-3</v>
      </c>
    </row>
    <row r="227" spans="1:3" x14ac:dyDescent="0.2">
      <c r="A227">
        <v>200</v>
      </c>
      <c r="B227">
        <v>2.247117017884742E-4</v>
      </c>
      <c r="C227">
        <v>-1.4424442900292576E-2</v>
      </c>
    </row>
    <row r="228" spans="1:3" x14ac:dyDescent="0.2">
      <c r="A228">
        <v>201</v>
      </c>
      <c r="B228">
        <v>-1.6988503373328083E-4</v>
      </c>
      <c r="C228">
        <v>-7.7732092164147634E-3</v>
      </c>
    </row>
    <row r="229" spans="1:3" x14ac:dyDescent="0.2">
      <c r="A229">
        <v>202</v>
      </c>
      <c r="B229">
        <v>-1.9795422743684561E-4</v>
      </c>
      <c r="C229">
        <v>2.8270173249511721E-3</v>
      </c>
    </row>
    <row r="230" spans="1:3" x14ac:dyDescent="0.2">
      <c r="A230">
        <v>203</v>
      </c>
      <c r="B230">
        <v>-2.8434557216509393E-5</v>
      </c>
      <c r="C230">
        <v>-7.8976679457633016E-3</v>
      </c>
    </row>
    <row r="231" spans="1:3" x14ac:dyDescent="0.2">
      <c r="A231">
        <v>204</v>
      </c>
      <c r="B231">
        <v>-6.465069795956182E-4</v>
      </c>
      <c r="C231">
        <v>2.467486043667497E-2</v>
      </c>
    </row>
    <row r="232" spans="1:3" x14ac:dyDescent="0.2">
      <c r="A232">
        <v>205</v>
      </c>
      <c r="B232">
        <v>1.7037571370213651E-4</v>
      </c>
      <c r="C232">
        <v>-1.8128934587599245E-3</v>
      </c>
    </row>
    <row r="233" spans="1:3" x14ac:dyDescent="0.2">
      <c r="A233">
        <v>206</v>
      </c>
      <c r="B233">
        <v>-7.9071286738726163E-5</v>
      </c>
      <c r="C233">
        <v>4.6621842781013282E-3</v>
      </c>
    </row>
    <row r="234" spans="1:3" x14ac:dyDescent="0.2">
      <c r="A234">
        <v>207</v>
      </c>
      <c r="B234">
        <v>-4.4887396023450836E-4</v>
      </c>
      <c r="C234">
        <v>1.6182628420081252E-2</v>
      </c>
    </row>
    <row r="235" spans="1:3" x14ac:dyDescent="0.2">
      <c r="A235">
        <v>208</v>
      </c>
      <c r="B235">
        <v>5.5674104176083874E-4</v>
      </c>
      <c r="C235">
        <v>3.0701572433386177E-4</v>
      </c>
    </row>
    <row r="236" spans="1:3" x14ac:dyDescent="0.2">
      <c r="A236">
        <v>209</v>
      </c>
      <c r="B236">
        <v>-2.3918070422621342E-4</v>
      </c>
      <c r="C236">
        <v>5.8438523791243561E-4</v>
      </c>
    </row>
    <row r="237" spans="1:3" x14ac:dyDescent="0.2">
      <c r="A237">
        <v>210</v>
      </c>
      <c r="B237">
        <v>-2.6908066748367369E-4</v>
      </c>
      <c r="C237">
        <v>-5.9999709227849373E-3</v>
      </c>
    </row>
    <row r="238" spans="1:3" x14ac:dyDescent="0.2">
      <c r="A238">
        <v>211</v>
      </c>
      <c r="B238">
        <v>-4.1742939600495461E-4</v>
      </c>
      <c r="C238">
        <v>7.9414483796836875E-3</v>
      </c>
    </row>
    <row r="239" spans="1:3" x14ac:dyDescent="0.2">
      <c r="A239">
        <v>212</v>
      </c>
      <c r="B239">
        <v>3.6524903926675049E-4</v>
      </c>
      <c r="C239">
        <v>3.6558906666155368E-3</v>
      </c>
    </row>
    <row r="240" spans="1:3" x14ac:dyDescent="0.2">
      <c r="A240">
        <v>213</v>
      </c>
      <c r="B240">
        <v>2.9333994955744335E-4</v>
      </c>
      <c r="C240">
        <v>-4.2411600662755899E-3</v>
      </c>
    </row>
    <row r="241" spans="1:3" x14ac:dyDescent="0.2">
      <c r="A241">
        <v>214</v>
      </c>
      <c r="B241">
        <v>-3.3559921865688986E-4</v>
      </c>
      <c r="C241">
        <v>1.7716380491468663E-3</v>
      </c>
    </row>
    <row r="242" spans="1:3" x14ac:dyDescent="0.2">
      <c r="A242">
        <v>215</v>
      </c>
      <c r="B242">
        <v>2.3587557144684511E-4</v>
      </c>
      <c r="C242">
        <v>-8.4382387697949385E-3</v>
      </c>
    </row>
    <row r="243" spans="1:3" x14ac:dyDescent="0.2">
      <c r="A243">
        <v>216</v>
      </c>
      <c r="B243">
        <v>-5.2029128175449981E-4</v>
      </c>
      <c r="C243">
        <v>1.3475007608167137E-2</v>
      </c>
    </row>
    <row r="244" spans="1:3" x14ac:dyDescent="0.2">
      <c r="A244">
        <v>217</v>
      </c>
      <c r="B244">
        <v>8.1227349667213199E-4</v>
      </c>
      <c r="C244">
        <v>1.3175736780233311E-2</v>
      </c>
    </row>
    <row r="245" spans="1:3" x14ac:dyDescent="0.2">
      <c r="A245">
        <v>218</v>
      </c>
      <c r="B245">
        <v>1.528108728478792E-4</v>
      </c>
      <c r="C245">
        <v>-2.1098756818793821E-2</v>
      </c>
    </row>
    <row r="246" spans="1:3" x14ac:dyDescent="0.2">
      <c r="A246">
        <v>219</v>
      </c>
      <c r="B246">
        <v>-3.5349307371320511E-4</v>
      </c>
      <c r="C246">
        <v>1.7337553235407246E-3</v>
      </c>
    </row>
    <row r="247" spans="1:3" x14ac:dyDescent="0.2">
      <c r="A247">
        <v>220</v>
      </c>
      <c r="B247">
        <v>-3.6175677228954023E-4</v>
      </c>
      <c r="C247">
        <v>-2.9692792947907058E-3</v>
      </c>
    </row>
    <row r="248" spans="1:3" x14ac:dyDescent="0.2">
      <c r="A248">
        <v>221</v>
      </c>
      <c r="B248">
        <v>-5.6154059162006372E-4</v>
      </c>
      <c r="C248">
        <v>7.5339965095640995E-3</v>
      </c>
    </row>
    <row r="249" spans="1:3" x14ac:dyDescent="0.2">
      <c r="A249">
        <v>222</v>
      </c>
      <c r="B249">
        <v>-5.9041304241351489E-4</v>
      </c>
      <c r="C249">
        <v>-8.5082994039384352E-3</v>
      </c>
    </row>
    <row r="250" spans="1:3" x14ac:dyDescent="0.2">
      <c r="A250">
        <v>223</v>
      </c>
      <c r="B250">
        <v>6.1831913033167976E-5</v>
      </c>
      <c r="C250">
        <v>-3.8733357245369598E-3</v>
      </c>
    </row>
    <row r="251" spans="1:3" x14ac:dyDescent="0.2">
      <c r="A251">
        <v>224</v>
      </c>
      <c r="B251">
        <v>-1.093263440551707E-3</v>
      </c>
      <c r="C251">
        <v>-1.9792003275642418E-3</v>
      </c>
    </row>
    <row r="252" spans="1:3" x14ac:dyDescent="0.2">
      <c r="A252">
        <v>225</v>
      </c>
      <c r="B252">
        <v>-1.0134190032142446E-4</v>
      </c>
      <c r="C252">
        <v>2.4273289910931037E-3</v>
      </c>
    </row>
    <row r="253" spans="1:3" x14ac:dyDescent="0.2">
      <c r="A253">
        <v>226</v>
      </c>
      <c r="B253">
        <v>-1.025583504497607E-4</v>
      </c>
      <c r="C253">
        <v>5.2078550958230586E-3</v>
      </c>
    </row>
    <row r="254" spans="1:3" x14ac:dyDescent="0.2">
      <c r="A254">
        <v>227</v>
      </c>
      <c r="B254">
        <v>8.911520649281092E-4</v>
      </c>
      <c r="C254">
        <v>-8.1061592799353249E-3</v>
      </c>
    </row>
    <row r="255" spans="1:3" x14ac:dyDescent="0.2">
      <c r="A255">
        <v>228</v>
      </c>
      <c r="B255">
        <v>-1.0702411703369744E-4</v>
      </c>
      <c r="C255">
        <v>8.5372566751731657E-3</v>
      </c>
    </row>
    <row r="256" spans="1:3" x14ac:dyDescent="0.2">
      <c r="A256">
        <v>229</v>
      </c>
      <c r="B256">
        <v>6.5030716684973643E-4</v>
      </c>
      <c r="C256">
        <v>-1.2815196183857435E-2</v>
      </c>
    </row>
    <row r="257" spans="1:3" x14ac:dyDescent="0.2">
      <c r="A257">
        <v>230</v>
      </c>
      <c r="B257">
        <v>-3.7009364038425403E-4</v>
      </c>
      <c r="C257">
        <v>-9.6100627737631013E-3</v>
      </c>
    </row>
    <row r="258" spans="1:3" x14ac:dyDescent="0.2">
      <c r="A258">
        <v>231</v>
      </c>
      <c r="B258">
        <v>-7.8397096752171969E-4</v>
      </c>
      <c r="C258">
        <v>2.4777368361850516E-2</v>
      </c>
    </row>
    <row r="259" spans="1:3" x14ac:dyDescent="0.2">
      <c r="A259">
        <v>232</v>
      </c>
      <c r="B259">
        <v>1.2318133255965572E-4</v>
      </c>
      <c r="C259">
        <v>-4.3258295766586191E-3</v>
      </c>
    </row>
    <row r="260" spans="1:3" x14ac:dyDescent="0.2">
      <c r="A260">
        <v>233</v>
      </c>
      <c r="B260">
        <v>2.1404763328258919E-4</v>
      </c>
      <c r="C260">
        <v>1.3256496391692912E-2</v>
      </c>
    </row>
    <row r="261" spans="1:3" x14ac:dyDescent="0.2">
      <c r="A261">
        <v>234</v>
      </c>
      <c r="B261">
        <v>6.4195904708279241E-4</v>
      </c>
      <c r="C261">
        <v>-1.8969504903229456E-3</v>
      </c>
    </row>
    <row r="262" spans="1:3" x14ac:dyDescent="0.2">
      <c r="A262">
        <v>235</v>
      </c>
      <c r="B262">
        <v>5.9616780987838927E-4</v>
      </c>
      <c r="C262">
        <v>9.6848465835416633E-3</v>
      </c>
    </row>
    <row r="263" spans="1:3" x14ac:dyDescent="0.2">
      <c r="A263">
        <v>236</v>
      </c>
      <c r="B263">
        <v>-2.5211454938590001E-5</v>
      </c>
      <c r="C263">
        <v>3.5869482256305589E-3</v>
      </c>
    </row>
    <row r="264" spans="1:3" x14ac:dyDescent="0.2">
      <c r="A264">
        <v>237</v>
      </c>
      <c r="B264">
        <v>-6.3144744875400654E-4</v>
      </c>
      <c r="C264">
        <v>-1.9599558524683448E-3</v>
      </c>
    </row>
    <row r="265" spans="1:3" x14ac:dyDescent="0.2">
      <c r="A265">
        <v>238</v>
      </c>
      <c r="B265">
        <v>-4.4812683214759657E-4</v>
      </c>
      <c r="C265">
        <v>-7.5157251870561588E-3</v>
      </c>
    </row>
    <row r="266" spans="1:3" x14ac:dyDescent="0.2">
      <c r="A266">
        <v>239</v>
      </c>
      <c r="B266">
        <v>-6.9170772970676816E-4</v>
      </c>
      <c r="C266">
        <v>6.9545180234896354E-3</v>
      </c>
    </row>
    <row r="267" spans="1:3" x14ac:dyDescent="0.2">
      <c r="A267">
        <v>240</v>
      </c>
      <c r="B267">
        <v>-3.9758685081313875E-6</v>
      </c>
      <c r="C267">
        <v>-4.2395456885813785E-3</v>
      </c>
    </row>
    <row r="268" spans="1:3" x14ac:dyDescent="0.2">
      <c r="A268">
        <v>241</v>
      </c>
      <c r="B268">
        <v>1.7709132484825458E-3</v>
      </c>
      <c r="C268">
        <v>1.1269786771949976E-3</v>
      </c>
    </row>
    <row r="269" spans="1:3" x14ac:dyDescent="0.2">
      <c r="A269">
        <v>242</v>
      </c>
      <c r="B269">
        <v>2.2383549469029621E-4</v>
      </c>
      <c r="C269">
        <v>6.4050596894456103E-3</v>
      </c>
    </row>
    <row r="270" spans="1:3" x14ac:dyDescent="0.2">
      <c r="A270">
        <v>243</v>
      </c>
      <c r="B270">
        <v>-2.5812597362604849E-4</v>
      </c>
      <c r="C270">
        <v>2.5657749858398441E-3</v>
      </c>
    </row>
    <row r="271" spans="1:3" x14ac:dyDescent="0.2">
      <c r="A271">
        <v>244</v>
      </c>
      <c r="B271">
        <v>-2.1965957805384481E-5</v>
      </c>
      <c r="C271">
        <v>9.6805463711027717E-3</v>
      </c>
    </row>
    <row r="272" spans="1:3" x14ac:dyDescent="0.2">
      <c r="A272">
        <v>245</v>
      </c>
      <c r="B272">
        <v>2.8111287548763299E-4</v>
      </c>
      <c r="C272">
        <v>3.8901885705635349E-3</v>
      </c>
    </row>
    <row r="273" spans="1:3" x14ac:dyDescent="0.2">
      <c r="A273">
        <v>246</v>
      </c>
      <c r="B273">
        <v>-4.7318950841773104E-4</v>
      </c>
      <c r="C273">
        <v>-8.9424848200232391E-3</v>
      </c>
    </row>
    <row r="274" spans="1:3" x14ac:dyDescent="0.2">
      <c r="A274">
        <v>247</v>
      </c>
      <c r="B274">
        <v>1.4296651503763251E-4</v>
      </c>
      <c r="C274">
        <v>-8.9771851339919741E-3</v>
      </c>
    </row>
    <row r="275" spans="1:3" ht="17" thickBot="1" x14ac:dyDescent="0.25">
      <c r="A275" s="12">
        <v>248</v>
      </c>
      <c r="B275" s="12">
        <v>2.8530060723877006E-4</v>
      </c>
      <c r="C275" s="12">
        <v>-1.4218848302844336E-2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CDA9-83C4-584E-AC97-1A79FEB54EF9}">
  <dimension ref="B3:C19"/>
  <sheetViews>
    <sheetView workbookViewId="0">
      <selection activeCell="M32" sqref="M32"/>
    </sheetView>
  </sheetViews>
  <sheetFormatPr baseColWidth="10" defaultRowHeight="16" x14ac:dyDescent="0.2"/>
  <cols>
    <col min="1" max="1" width="10.83203125" style="1"/>
    <col min="2" max="2" width="36" style="1" bestFit="1" customWidth="1"/>
    <col min="3" max="16384" width="10.83203125" style="1"/>
  </cols>
  <sheetData>
    <row r="3" spans="2:3" x14ac:dyDescent="0.2">
      <c r="B3" s="1" t="s">
        <v>92</v>
      </c>
    </row>
    <row r="5" spans="2:3" x14ac:dyDescent="0.2">
      <c r="B5" s="16" t="s">
        <v>90</v>
      </c>
    </row>
    <row r="6" spans="2:3" x14ac:dyDescent="0.2">
      <c r="B6" s="1" t="s">
        <v>85</v>
      </c>
      <c r="C6" s="1">
        <v>-4.6567417526755829E-4</v>
      </c>
    </row>
    <row r="7" spans="2:3" x14ac:dyDescent="0.2">
      <c r="B7" s="1" t="s">
        <v>86</v>
      </c>
      <c r="C7" s="1">
        <v>-0.117349892167425</v>
      </c>
    </row>
    <row r="8" spans="2:3" x14ac:dyDescent="0.2">
      <c r="B8" s="1" t="s">
        <v>87</v>
      </c>
      <c r="C8" s="1">
        <v>4.1399999999999999E-2</v>
      </c>
    </row>
    <row r="9" spans="2:3" x14ac:dyDescent="0.2">
      <c r="B9" s="1" t="s">
        <v>88</v>
      </c>
      <c r="C9" s="1">
        <v>1.1340490565662293</v>
      </c>
    </row>
    <row r="10" spans="2:3" x14ac:dyDescent="0.2">
      <c r="B10" s="17" t="s">
        <v>89</v>
      </c>
      <c r="C10" s="17">
        <f>$C$8+ C9*($C$7-$C$8)</f>
        <v>-0.13863016544245896</v>
      </c>
    </row>
    <row r="14" spans="2:3" x14ac:dyDescent="0.2">
      <c r="B14" s="16" t="s">
        <v>91</v>
      </c>
    </row>
    <row r="15" spans="2:3" x14ac:dyDescent="0.2">
      <c r="B15" s="1" t="s">
        <v>85</v>
      </c>
      <c r="C15" s="1">
        <v>-4.6567417526755829E-4</v>
      </c>
    </row>
    <row r="16" spans="2:3" x14ac:dyDescent="0.2">
      <c r="B16" s="1" t="s">
        <v>86</v>
      </c>
      <c r="C16" s="1">
        <v>-0.117349892167425</v>
      </c>
    </row>
    <row r="17" spans="2:3" x14ac:dyDescent="0.2">
      <c r="B17" s="1" t="s">
        <v>87</v>
      </c>
      <c r="C17" s="1">
        <v>4.1399999999999999E-2</v>
      </c>
    </row>
    <row r="18" spans="2:3" x14ac:dyDescent="0.2">
      <c r="B18" s="1" t="s">
        <v>88</v>
      </c>
      <c r="C18">
        <v>-1.8715898997590148E-3</v>
      </c>
    </row>
    <row r="19" spans="2:3" x14ac:dyDescent="0.2">
      <c r="B19" s="17" t="s">
        <v>89</v>
      </c>
      <c r="C19" s="17">
        <f>C17+C18*(C16-C17)</f>
        <v>4.1697114694768382E-2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BF36-E535-8C42-8D1C-1CD92F04CBD0}">
  <dimension ref="A2:F112"/>
  <sheetViews>
    <sheetView zoomScale="125" workbookViewId="0">
      <selection activeCell="I25" sqref="I25"/>
    </sheetView>
  </sheetViews>
  <sheetFormatPr baseColWidth="10" defaultRowHeight="16" x14ac:dyDescent="0.2"/>
  <cols>
    <col min="1" max="1" width="22.83203125" style="1" bestFit="1" customWidth="1"/>
    <col min="2" max="16384" width="10.83203125" style="1"/>
  </cols>
  <sheetData>
    <row r="2" spans="1:6" x14ac:dyDescent="0.2">
      <c r="A2" s="1" t="s">
        <v>108</v>
      </c>
    </row>
    <row r="4" spans="1:6" x14ac:dyDescent="0.2">
      <c r="A4" s="1" t="s">
        <v>93</v>
      </c>
      <c r="B4" s="1">
        <v>181.71</v>
      </c>
    </row>
    <row r="5" spans="1:6" x14ac:dyDescent="0.2">
      <c r="A5" s="1" t="s">
        <v>94</v>
      </c>
      <c r="B5" s="1">
        <f>1/100</f>
        <v>0.01</v>
      </c>
    </row>
    <row r="6" spans="1:6" x14ac:dyDescent="0.2">
      <c r="A6" s="1" t="s">
        <v>95</v>
      </c>
      <c r="B6" s="1">
        <v>4.1697114694768382E-2</v>
      </c>
    </row>
    <row r="7" spans="1:6" x14ac:dyDescent="0.2">
      <c r="A7" s="1" t="s">
        <v>96</v>
      </c>
      <c r="B7" s="1">
        <v>0.22851461619389279</v>
      </c>
    </row>
    <row r="8" spans="1:6" x14ac:dyDescent="0.2">
      <c r="A8" s="1" t="s">
        <v>103</v>
      </c>
      <c r="B8" s="1">
        <f>B6-(1/2*(B7^2))</f>
        <v>1.5587649787647317E-2</v>
      </c>
    </row>
    <row r="11" spans="1:6" ht="68" x14ac:dyDescent="0.2">
      <c r="A11" s="1" t="s">
        <v>97</v>
      </c>
      <c r="B11" s="18" t="s">
        <v>98</v>
      </c>
      <c r="C11" s="18" t="s">
        <v>99</v>
      </c>
      <c r="D11" s="18" t="s">
        <v>100</v>
      </c>
      <c r="E11" s="18" t="s">
        <v>101</v>
      </c>
      <c r="F11" s="18" t="s">
        <v>102</v>
      </c>
    </row>
    <row r="12" spans="1:6" x14ac:dyDescent="0.2">
      <c r="A12" s="1">
        <v>0</v>
      </c>
      <c r="D12" s="1">
        <f>B4</f>
        <v>181.71</v>
      </c>
      <c r="E12" s="1">
        <f>D12</f>
        <v>181.71</v>
      </c>
      <c r="F12" s="1">
        <f>D12-E12</f>
        <v>0</v>
      </c>
    </row>
    <row r="13" spans="1:6" x14ac:dyDescent="0.2">
      <c r="A13" s="1">
        <v>1</v>
      </c>
      <c r="B13" s="1">
        <f ca="1">RAND()</f>
        <v>0.73594618668932021</v>
      </c>
      <c r="C13" s="1">
        <f ca="1">_xlfn.NORM.S.INV(B13)</f>
        <v>0.63089737761597531</v>
      </c>
      <c r="D13" s="1">
        <f ca="1">D12*EXP($B$8*$B$5+$B$7*C13*SQRT($B$5))</f>
        <v>184.37741279776296</v>
      </c>
      <c r="E13" s="1">
        <f>E12*EXP($B$8*$B$5)</f>
        <v>181.73832652609164</v>
      </c>
      <c r="F13" s="1">
        <f t="shared" ref="F13:F76" ca="1" si="0">D13-E13</f>
        <v>2.6390862716713173</v>
      </c>
    </row>
    <row r="14" spans="1:6" x14ac:dyDescent="0.2">
      <c r="A14" s="1">
        <v>2</v>
      </c>
      <c r="B14" s="1">
        <f t="shared" ref="B14:B77" ca="1" si="1">RAND()</f>
        <v>7.3673687185590309E-2</v>
      </c>
      <c r="C14" s="1">
        <f t="shared" ref="C14:C77" ca="1" si="2">_xlfn.NORM.S.INV(B14)</f>
        <v>-1.4489649382398588</v>
      </c>
      <c r="D14" s="1">
        <f t="shared" ref="D14:D77" ca="1" si="3">D13*EXP($B$8*$B$5+$B$7*C14*SQRT($B$5))</f>
        <v>178.40026814381227</v>
      </c>
      <c r="E14" s="1">
        <f t="shared" ref="E14:E77" si="4">E13*EXP($B$8*$B$5)</f>
        <v>181.76665746796709</v>
      </c>
      <c r="F14" s="1">
        <f t="shared" ca="1" si="0"/>
        <v>-3.3663893241548237</v>
      </c>
    </row>
    <row r="15" spans="1:6" x14ac:dyDescent="0.2">
      <c r="A15" s="1">
        <v>3</v>
      </c>
      <c r="B15" s="1">
        <f t="shared" ca="1" si="1"/>
        <v>0.89892705582126753</v>
      </c>
      <c r="C15" s="1">
        <f t="shared" ca="1" si="2"/>
        <v>1.2754616539390946</v>
      </c>
      <c r="D15" s="1">
        <f t="shared" ca="1" si="3"/>
        <v>183.70510151202402</v>
      </c>
      <c r="E15" s="1">
        <f t="shared" si="4"/>
        <v>181.79499282631474</v>
      </c>
      <c r="F15" s="1">
        <f t="shared" ca="1" si="0"/>
        <v>1.9101086857092753</v>
      </c>
    </row>
    <row r="16" spans="1:6" x14ac:dyDescent="0.2">
      <c r="A16" s="1">
        <v>4</v>
      </c>
      <c r="B16" s="1">
        <f t="shared" ca="1" si="1"/>
        <v>0.1607200992866018</v>
      </c>
      <c r="C16" s="1">
        <f t="shared" ca="1" si="2"/>
        <v>-0.99150265089508283</v>
      </c>
      <c r="D16" s="1">
        <f t="shared" ca="1" si="3"/>
        <v>179.61763733097888</v>
      </c>
      <c r="E16" s="1">
        <f t="shared" si="4"/>
        <v>181.82333260182307</v>
      </c>
      <c r="F16" s="1">
        <f t="shared" ca="1" si="0"/>
        <v>-2.2056952708441884</v>
      </c>
    </row>
    <row r="17" spans="1:6" x14ac:dyDescent="0.2">
      <c r="A17" s="1">
        <v>5</v>
      </c>
      <c r="B17" s="1">
        <f t="shared" ca="1" si="1"/>
        <v>0.33191059303799908</v>
      </c>
      <c r="C17" s="1">
        <f t="shared" ca="1" si="2"/>
        <v>-0.43464353998623528</v>
      </c>
      <c r="D17" s="1">
        <f t="shared" ca="1" si="3"/>
        <v>177.87018576516417</v>
      </c>
      <c r="E17" s="1">
        <f t="shared" si="4"/>
        <v>181.85167679518068</v>
      </c>
      <c r="F17" s="1">
        <f t="shared" ca="1" si="0"/>
        <v>-3.9814910300165138</v>
      </c>
    </row>
    <row r="18" spans="1:6" x14ac:dyDescent="0.2">
      <c r="A18" s="1">
        <v>6</v>
      </c>
      <c r="B18" s="1">
        <f t="shared" ca="1" si="1"/>
        <v>0.97946602075817912</v>
      </c>
      <c r="C18" s="1">
        <f t="shared" ca="1" si="2"/>
        <v>2.0428432411361079</v>
      </c>
      <c r="D18" s="1">
        <f t="shared" ca="1" si="3"/>
        <v>186.39942569125404</v>
      </c>
      <c r="E18" s="1">
        <f t="shared" si="4"/>
        <v>181.88002540707626</v>
      </c>
      <c r="F18" s="1">
        <f t="shared" ca="1" si="0"/>
        <v>4.5194002841777774</v>
      </c>
    </row>
    <row r="19" spans="1:6" x14ac:dyDescent="0.2">
      <c r="A19" s="1">
        <v>7</v>
      </c>
      <c r="B19" s="1">
        <f t="shared" ca="1" si="1"/>
        <v>0.16998193290033914</v>
      </c>
      <c r="C19" s="1">
        <f t="shared" ca="1" si="2"/>
        <v>-0.95423665193088791</v>
      </c>
      <c r="D19" s="1">
        <f t="shared" ca="1" si="3"/>
        <v>182.40728115595957</v>
      </c>
      <c r="E19" s="1">
        <f t="shared" si="4"/>
        <v>181.90837843819858</v>
      </c>
      <c r="F19" s="1">
        <f t="shared" ca="1" si="0"/>
        <v>0.49890271776098416</v>
      </c>
    </row>
    <row r="20" spans="1:6" x14ac:dyDescent="0.2">
      <c r="A20" s="1">
        <v>8</v>
      </c>
      <c r="B20" s="1">
        <f t="shared" ca="1" si="1"/>
        <v>0.55974714295106798</v>
      </c>
      <c r="C20" s="1">
        <f t="shared" ca="1" si="2"/>
        <v>0.15032816363014531</v>
      </c>
      <c r="D20" s="1">
        <f t="shared" ca="1" si="3"/>
        <v>183.06350055520016</v>
      </c>
      <c r="E20" s="1">
        <f t="shared" si="4"/>
        <v>181.93673588923659</v>
      </c>
      <c r="F20" s="1">
        <f t="shared" ca="1" si="0"/>
        <v>1.1267646659635773</v>
      </c>
    </row>
    <row r="21" spans="1:6" x14ac:dyDescent="0.2">
      <c r="A21" s="1">
        <v>9</v>
      </c>
      <c r="B21" s="1">
        <f t="shared" ca="1" si="1"/>
        <v>0.84839914834465335</v>
      </c>
      <c r="C21" s="1">
        <f t="shared" ca="1" si="2"/>
        <v>1.0295917209287289</v>
      </c>
      <c r="D21" s="1">
        <f t="shared" ca="1" si="3"/>
        <v>187.45084338283948</v>
      </c>
      <c r="E21" s="1">
        <f t="shared" si="4"/>
        <v>181.96509776087927</v>
      </c>
      <c r="F21" s="1">
        <f t="shared" ca="1" si="0"/>
        <v>5.4857456219602057</v>
      </c>
    </row>
    <row r="22" spans="1:6" x14ac:dyDescent="0.2">
      <c r="A22" s="1">
        <v>10</v>
      </c>
      <c r="B22" s="1">
        <f t="shared" ca="1" si="1"/>
        <v>0.38223058112241892</v>
      </c>
      <c r="C22" s="1">
        <f t="shared" ca="1" si="2"/>
        <v>-0.29962768767483866</v>
      </c>
      <c r="D22" s="1">
        <f t="shared" ca="1" si="3"/>
        <v>186.20078641052896</v>
      </c>
      <c r="E22" s="1">
        <f t="shared" si="4"/>
        <v>181.99346405381576</v>
      </c>
      <c r="F22" s="1">
        <f t="shared" ca="1" si="0"/>
        <v>4.2073223567132061</v>
      </c>
    </row>
    <row r="23" spans="1:6" x14ac:dyDescent="0.2">
      <c r="A23" s="1">
        <v>11</v>
      </c>
      <c r="B23" s="1">
        <f t="shared" ca="1" si="1"/>
        <v>5.9576637847322256E-2</v>
      </c>
      <c r="C23" s="1">
        <f t="shared" ca="1" si="2"/>
        <v>-1.5583374502737763</v>
      </c>
      <c r="D23" s="1">
        <f t="shared" ca="1" si="3"/>
        <v>179.71480475938213</v>
      </c>
      <c r="E23" s="1">
        <f t="shared" si="4"/>
        <v>182.02183476873526</v>
      </c>
      <c r="F23" s="1">
        <f t="shared" ca="1" si="0"/>
        <v>-2.3070300093531273</v>
      </c>
    </row>
    <row r="24" spans="1:6" x14ac:dyDescent="0.2">
      <c r="A24" s="1">
        <v>12</v>
      </c>
      <c r="B24" s="1">
        <f t="shared" ca="1" si="1"/>
        <v>0.49256721669141179</v>
      </c>
      <c r="C24" s="1">
        <f t="shared" ca="1" si="2"/>
        <v>-1.8632302817826185E-2</v>
      </c>
      <c r="D24" s="1">
        <f t="shared" ca="1" si="3"/>
        <v>179.66630648448756</v>
      </c>
      <c r="E24" s="1">
        <f t="shared" si="4"/>
        <v>182.05020990632715</v>
      </c>
      <c r="F24" s="1">
        <f t="shared" ca="1" si="0"/>
        <v>-2.3839034218395909</v>
      </c>
    </row>
    <row r="25" spans="1:6" x14ac:dyDescent="0.2">
      <c r="A25" s="1">
        <v>13</v>
      </c>
      <c r="B25" s="1">
        <f t="shared" ca="1" si="1"/>
        <v>0.59200888736066148</v>
      </c>
      <c r="C25" s="1">
        <f t="shared" ca="1" si="2"/>
        <v>0.23271563790437833</v>
      </c>
      <c r="D25" s="1">
        <f t="shared" ca="1" si="3"/>
        <v>180.65245484899839</v>
      </c>
      <c r="E25" s="1">
        <f t="shared" si="4"/>
        <v>182.07858946728086</v>
      </c>
      <c r="F25" s="1">
        <f t="shared" ca="1" si="0"/>
        <v>-1.4261346182824752</v>
      </c>
    </row>
    <row r="26" spans="1:6" x14ac:dyDescent="0.2">
      <c r="A26" s="1">
        <v>14</v>
      </c>
      <c r="B26" s="1">
        <f t="shared" ca="1" si="1"/>
        <v>0.11326924046573617</v>
      </c>
      <c r="C26" s="1">
        <f t="shared" ca="1" si="2"/>
        <v>-1.2093237734112541</v>
      </c>
      <c r="D26" s="1">
        <f t="shared" ca="1" si="3"/>
        <v>175.75590116781621</v>
      </c>
      <c r="E26" s="1">
        <f t="shared" si="4"/>
        <v>182.10697345228593</v>
      </c>
      <c r="F26" s="1">
        <f t="shared" ca="1" si="0"/>
        <v>-6.3510722844697227</v>
      </c>
    </row>
    <row r="27" spans="1:6" x14ac:dyDescent="0.2">
      <c r="A27" s="1">
        <v>15</v>
      </c>
      <c r="B27" s="1">
        <f t="shared" ca="1" si="1"/>
        <v>0.34853794068590271</v>
      </c>
      <c r="C27" s="1">
        <f t="shared" ca="1" si="2"/>
        <v>-0.38927073651557215</v>
      </c>
      <c r="D27" s="1">
        <f t="shared" ca="1" si="3"/>
        <v>174.22656995945675</v>
      </c>
      <c r="E27" s="1">
        <f t="shared" si="4"/>
        <v>182.13536186203203</v>
      </c>
      <c r="F27" s="1">
        <f t="shared" ca="1" si="0"/>
        <v>-7.908791902575274</v>
      </c>
    </row>
    <row r="28" spans="1:6" x14ac:dyDescent="0.2">
      <c r="A28" s="1">
        <v>16</v>
      </c>
      <c r="B28" s="1">
        <f t="shared" ca="1" si="1"/>
        <v>0.15999719713774563</v>
      </c>
      <c r="C28" s="1">
        <f t="shared" ca="1" si="2"/>
        <v>-0.99446940290995378</v>
      </c>
      <c r="D28" s="1">
        <f t="shared" ca="1" si="3"/>
        <v>170.33845600774242</v>
      </c>
      <c r="E28" s="1">
        <f t="shared" si="4"/>
        <v>182.1637546972089</v>
      </c>
      <c r="F28" s="1">
        <f t="shared" ca="1" si="0"/>
        <v>-11.825298689466479</v>
      </c>
    </row>
    <row r="29" spans="1:6" x14ac:dyDescent="0.2">
      <c r="A29" s="1">
        <v>17</v>
      </c>
      <c r="B29" s="1">
        <f t="shared" ca="1" si="1"/>
        <v>0.89942931921395808</v>
      </c>
      <c r="C29" s="1">
        <f t="shared" ca="1" si="2"/>
        <v>1.2783065433944631</v>
      </c>
      <c r="D29" s="1">
        <f t="shared" ca="1" si="3"/>
        <v>175.4149701459813</v>
      </c>
      <c r="E29" s="1">
        <f t="shared" si="4"/>
        <v>182.19215195850646</v>
      </c>
      <c r="F29" s="1">
        <f t="shared" ca="1" si="0"/>
        <v>-6.7771818125251571</v>
      </c>
    </row>
    <row r="30" spans="1:6" x14ac:dyDescent="0.2">
      <c r="A30" s="1">
        <v>18</v>
      </c>
      <c r="B30" s="1">
        <f t="shared" ca="1" si="1"/>
        <v>0.19482980062328537</v>
      </c>
      <c r="C30" s="1">
        <f t="shared" ca="1" si="2"/>
        <v>-0.86023484354055502</v>
      </c>
      <c r="D30" s="1">
        <f t="shared" ca="1" si="3"/>
        <v>172.02721273798403</v>
      </c>
      <c r="E30" s="1">
        <f t="shared" si="4"/>
        <v>182.22055364661466</v>
      </c>
      <c r="F30" s="1">
        <f t="shared" ca="1" si="0"/>
        <v>-10.193340908630631</v>
      </c>
    </row>
    <row r="31" spans="1:6" x14ac:dyDescent="0.2">
      <c r="A31" s="1">
        <v>19</v>
      </c>
      <c r="B31" s="1">
        <f t="shared" ca="1" si="1"/>
        <v>0.5346735805005286</v>
      </c>
      <c r="C31" s="1">
        <f t="shared" ca="1" si="2"/>
        <v>8.7023492033784886E-2</v>
      </c>
      <c r="D31" s="1">
        <f t="shared" ca="1" si="3"/>
        <v>172.39651930472368</v>
      </c>
      <c r="E31" s="1">
        <f t="shared" si="4"/>
        <v>182.24895976222359</v>
      </c>
      <c r="F31" s="1">
        <f t="shared" ca="1" si="0"/>
        <v>-9.8524404574999096</v>
      </c>
    </row>
    <row r="32" spans="1:6" x14ac:dyDescent="0.2">
      <c r="A32" s="1">
        <v>20</v>
      </c>
      <c r="B32" s="1">
        <f t="shared" ca="1" si="1"/>
        <v>0.43627572572132844</v>
      </c>
      <c r="C32" s="1">
        <f t="shared" ca="1" si="2"/>
        <v>-0.16041845683865055</v>
      </c>
      <c r="D32" s="1">
        <f t="shared" ca="1" si="3"/>
        <v>171.79248204466671</v>
      </c>
      <c r="E32" s="1">
        <f t="shared" si="4"/>
        <v>182.27737030602347</v>
      </c>
      <c r="F32" s="1">
        <f t="shared" ca="1" si="0"/>
        <v>-10.484888261356758</v>
      </c>
    </row>
    <row r="33" spans="1:6" x14ac:dyDescent="0.2">
      <c r="A33" s="1">
        <v>21</v>
      </c>
      <c r="B33" s="1">
        <f t="shared" ca="1" si="1"/>
        <v>0.22904678940112477</v>
      </c>
      <c r="C33" s="1">
        <f t="shared" ca="1" si="2"/>
        <v>-0.74198969567175199</v>
      </c>
      <c r="D33" s="1">
        <f t="shared" ca="1" si="3"/>
        <v>168.93053182237861</v>
      </c>
      <c r="E33" s="1">
        <f t="shared" si="4"/>
        <v>182.30578527870458</v>
      </c>
      <c r="F33" s="1">
        <f t="shared" ca="1" si="0"/>
        <v>-13.375253456325964</v>
      </c>
    </row>
    <row r="34" spans="1:6" x14ac:dyDescent="0.2">
      <c r="A34" s="1">
        <v>22</v>
      </c>
      <c r="B34" s="1">
        <f t="shared" ca="1" si="1"/>
        <v>0.8729463546713313</v>
      </c>
      <c r="C34" s="1">
        <f t="shared" ca="1" si="2"/>
        <v>1.1404297830883914</v>
      </c>
      <c r="D34" s="1">
        <f t="shared" ca="1" si="3"/>
        <v>173.41783956068596</v>
      </c>
      <c r="E34" s="1">
        <f t="shared" si="4"/>
        <v>182.33420468095736</v>
      </c>
      <c r="F34" s="1">
        <f t="shared" ca="1" si="0"/>
        <v>-8.9163651202713936</v>
      </c>
    </row>
    <row r="35" spans="1:6" x14ac:dyDescent="0.2">
      <c r="A35" s="1">
        <v>23</v>
      </c>
      <c r="B35" s="1">
        <f t="shared" ca="1" si="1"/>
        <v>0.142784431651235</v>
      </c>
      <c r="C35" s="1">
        <f t="shared" ca="1" si="2"/>
        <v>-1.0678928163735277</v>
      </c>
      <c r="D35" s="1">
        <f t="shared" ca="1" si="3"/>
        <v>169.26353936115058</v>
      </c>
      <c r="E35" s="1">
        <f t="shared" si="4"/>
        <v>182.36262851347229</v>
      </c>
      <c r="F35" s="1">
        <f t="shared" ca="1" si="0"/>
        <v>-13.09908915232171</v>
      </c>
    </row>
    <row r="36" spans="1:6" x14ac:dyDescent="0.2">
      <c r="A36" s="1">
        <v>24</v>
      </c>
      <c r="B36" s="1">
        <f t="shared" ca="1" si="1"/>
        <v>0.72818356999984468</v>
      </c>
      <c r="C36" s="1">
        <f t="shared" ca="1" si="2"/>
        <v>0.60732860282710477</v>
      </c>
      <c r="D36" s="1">
        <f t="shared" ca="1" si="3"/>
        <v>171.65576885354579</v>
      </c>
      <c r="E36" s="1">
        <f t="shared" si="4"/>
        <v>182.39105677694002</v>
      </c>
      <c r="F36" s="1">
        <f t="shared" ca="1" si="0"/>
        <v>-10.735287923394225</v>
      </c>
    </row>
    <row r="37" spans="1:6" x14ac:dyDescent="0.2">
      <c r="A37" s="1">
        <v>25</v>
      </c>
      <c r="B37" s="1">
        <f t="shared" ca="1" si="1"/>
        <v>0.70638547041586708</v>
      </c>
      <c r="C37" s="1">
        <f t="shared" ca="1" si="2"/>
        <v>0.54285584537703169</v>
      </c>
      <c r="D37" s="1">
        <f t="shared" ca="1" si="3"/>
        <v>173.82552279725479</v>
      </c>
      <c r="E37" s="1">
        <f t="shared" si="4"/>
        <v>182.41948947205128</v>
      </c>
      <c r="F37" s="1">
        <f t="shared" ca="1" si="0"/>
        <v>-8.5939666747964907</v>
      </c>
    </row>
    <row r="38" spans="1:6" x14ac:dyDescent="0.2">
      <c r="A38" s="1">
        <v>26</v>
      </c>
      <c r="B38" s="1">
        <f t="shared" ca="1" si="1"/>
        <v>9.5027919980401498E-2</v>
      </c>
      <c r="C38" s="1">
        <f t="shared" ca="1" si="2"/>
        <v>-1.3104139411052638</v>
      </c>
      <c r="D38" s="1">
        <f t="shared" ca="1" si="3"/>
        <v>168.72379962292899</v>
      </c>
      <c r="E38" s="1">
        <f t="shared" si="4"/>
        <v>182.44792659949692</v>
      </c>
      <c r="F38" s="1">
        <f t="shared" ca="1" si="0"/>
        <v>-13.724126976567931</v>
      </c>
    </row>
    <row r="39" spans="1:6" x14ac:dyDescent="0.2">
      <c r="A39" s="1">
        <v>27</v>
      </c>
      <c r="B39" s="1">
        <f t="shared" ca="1" si="1"/>
        <v>5.9259168905607562E-2</v>
      </c>
      <c r="C39" s="1">
        <f t="shared" ca="1" si="2"/>
        <v>-1.5610229423325424</v>
      </c>
      <c r="D39" s="1">
        <f t="shared" ca="1" si="3"/>
        <v>162.83660534474711</v>
      </c>
      <c r="E39" s="1">
        <f t="shared" si="4"/>
        <v>182.4763681599679</v>
      </c>
      <c r="F39" s="1">
        <f t="shared" ca="1" si="0"/>
        <v>-19.639762815220791</v>
      </c>
    </row>
    <row r="40" spans="1:6" x14ac:dyDescent="0.2">
      <c r="A40" s="1">
        <v>28</v>
      </c>
      <c r="B40" s="1">
        <f t="shared" ca="1" si="1"/>
        <v>0.97703689826697104</v>
      </c>
      <c r="C40" s="1">
        <f t="shared" ca="1" si="2"/>
        <v>1.9960709232171618</v>
      </c>
      <c r="D40" s="1">
        <f t="shared" ca="1" si="3"/>
        <v>170.4626636874016</v>
      </c>
      <c r="E40" s="1">
        <f t="shared" si="4"/>
        <v>182.50481415415527</v>
      </c>
      <c r="F40" s="1">
        <f t="shared" ca="1" si="0"/>
        <v>-12.042150466753668</v>
      </c>
    </row>
    <row r="41" spans="1:6" x14ac:dyDescent="0.2">
      <c r="A41" s="1">
        <v>29</v>
      </c>
      <c r="B41" s="1">
        <f t="shared" ca="1" si="1"/>
        <v>1.9806211498543225E-2</v>
      </c>
      <c r="C41" s="1">
        <f t="shared" ca="1" si="2"/>
        <v>-2.0577678567749538</v>
      </c>
      <c r="D41" s="1">
        <f t="shared" ca="1" si="3"/>
        <v>162.65789063825119</v>
      </c>
      <c r="E41" s="1">
        <f t="shared" si="4"/>
        <v>182.53326458275021</v>
      </c>
      <c r="F41" s="1">
        <f t="shared" ca="1" si="0"/>
        <v>-19.875373944499017</v>
      </c>
    </row>
    <row r="42" spans="1:6" x14ac:dyDescent="0.2">
      <c r="A42" s="1">
        <v>30</v>
      </c>
      <c r="B42" s="1">
        <f t="shared" ca="1" si="1"/>
        <v>0.80144478821717202</v>
      </c>
      <c r="C42" s="1">
        <f t="shared" ca="1" si="2"/>
        <v>0.84679315617330708</v>
      </c>
      <c r="D42" s="1">
        <f t="shared" ca="1" si="3"/>
        <v>165.86189803274684</v>
      </c>
      <c r="E42" s="1">
        <f t="shared" si="4"/>
        <v>182.56171944644396</v>
      </c>
      <c r="F42" s="1">
        <f t="shared" ca="1" si="0"/>
        <v>-16.699821413697123</v>
      </c>
    </row>
    <row r="43" spans="1:6" x14ac:dyDescent="0.2">
      <c r="A43" s="1">
        <v>31</v>
      </c>
      <c r="B43" s="1">
        <f t="shared" ca="1" si="1"/>
        <v>0.26145976285009953</v>
      </c>
      <c r="C43" s="1">
        <f t="shared" ca="1" si="2"/>
        <v>-0.63885152463035966</v>
      </c>
      <c r="D43" s="1">
        <f t="shared" ca="1" si="3"/>
        <v>163.48360138100423</v>
      </c>
      <c r="E43" s="1">
        <f t="shared" si="4"/>
        <v>182.59017874592791</v>
      </c>
      <c r="F43" s="1">
        <f t="shared" ca="1" si="0"/>
        <v>-19.10657736492368</v>
      </c>
    </row>
    <row r="44" spans="1:6" x14ac:dyDescent="0.2">
      <c r="A44" s="1">
        <v>32</v>
      </c>
      <c r="B44" s="1">
        <f t="shared" ca="1" si="1"/>
        <v>2.064873104543874E-2</v>
      </c>
      <c r="C44" s="1">
        <f t="shared" ca="1" si="2"/>
        <v>-2.0405310460866044</v>
      </c>
      <c r="D44" s="1">
        <f t="shared" ca="1" si="3"/>
        <v>156.05982815770682</v>
      </c>
      <c r="E44" s="1">
        <f t="shared" si="4"/>
        <v>182.61864248189357</v>
      </c>
      <c r="F44" s="1">
        <f t="shared" ca="1" si="0"/>
        <v>-26.558814324186756</v>
      </c>
    </row>
    <row r="45" spans="1:6" x14ac:dyDescent="0.2">
      <c r="A45" s="1">
        <v>33</v>
      </c>
      <c r="B45" s="1">
        <f t="shared" ca="1" si="1"/>
        <v>0.67482466121384399</v>
      </c>
      <c r="C45" s="1">
        <f t="shared" ca="1" si="2"/>
        <v>0.45327507619044405</v>
      </c>
      <c r="D45" s="1">
        <f t="shared" ca="1" si="3"/>
        <v>157.70927746328277</v>
      </c>
      <c r="E45" s="1">
        <f t="shared" si="4"/>
        <v>182.64711065503252</v>
      </c>
      <c r="F45" s="1">
        <f t="shared" ca="1" si="0"/>
        <v>-24.937833191749746</v>
      </c>
    </row>
    <row r="46" spans="1:6" x14ac:dyDescent="0.2">
      <c r="A46" s="1">
        <v>34</v>
      </c>
      <c r="B46" s="1">
        <f t="shared" ca="1" si="1"/>
        <v>0.46645200479621629</v>
      </c>
      <c r="C46" s="1">
        <f t="shared" ca="1" si="2"/>
        <v>-8.4191709568777945E-2</v>
      </c>
      <c r="D46" s="1">
        <f t="shared" ca="1" si="3"/>
        <v>157.43068953141585</v>
      </c>
      <c r="E46" s="1">
        <f t="shared" si="4"/>
        <v>182.67558326603648</v>
      </c>
      <c r="F46" s="1">
        <f t="shared" ca="1" si="0"/>
        <v>-25.244893734620632</v>
      </c>
    </row>
    <row r="47" spans="1:6" x14ac:dyDescent="0.2">
      <c r="A47" s="1">
        <v>35</v>
      </c>
      <c r="B47" s="1">
        <f t="shared" ca="1" si="1"/>
        <v>0.25572112531574909</v>
      </c>
      <c r="C47" s="1">
        <f t="shared" ca="1" si="2"/>
        <v>-0.65659362258940002</v>
      </c>
      <c r="D47" s="1">
        <f t="shared" ca="1" si="3"/>
        <v>155.11038852558332</v>
      </c>
      <c r="E47" s="1">
        <f t="shared" si="4"/>
        <v>182.70406031559725</v>
      </c>
      <c r="F47" s="1">
        <f t="shared" ca="1" si="0"/>
        <v>-27.593671790013929</v>
      </c>
    </row>
    <row r="48" spans="1:6" x14ac:dyDescent="0.2">
      <c r="A48" s="1">
        <v>36</v>
      </c>
      <c r="B48" s="1">
        <f t="shared" ca="1" si="1"/>
        <v>0.95479248106128001</v>
      </c>
      <c r="C48" s="1">
        <f t="shared" ca="1" si="2"/>
        <v>1.6932124382178735</v>
      </c>
      <c r="D48" s="1">
        <f t="shared" ca="1" si="3"/>
        <v>161.25473232800951</v>
      </c>
      <c r="E48" s="1">
        <f t="shared" si="4"/>
        <v>182.73254180440674</v>
      </c>
      <c r="F48" s="1">
        <f t="shared" ca="1" si="0"/>
        <v>-21.477809476397226</v>
      </c>
    </row>
    <row r="49" spans="1:6" x14ac:dyDescent="0.2">
      <c r="A49" s="1">
        <v>37</v>
      </c>
      <c r="B49" s="1">
        <f t="shared" ca="1" si="1"/>
        <v>0.27176374092611411</v>
      </c>
      <c r="C49" s="1">
        <f t="shared" ca="1" si="2"/>
        <v>-0.60748743035663266</v>
      </c>
      <c r="D49" s="1">
        <f t="shared" ca="1" si="3"/>
        <v>159.05645527377837</v>
      </c>
      <c r="E49" s="1">
        <f t="shared" si="4"/>
        <v>182.76102773315699</v>
      </c>
      <c r="F49" s="1">
        <f t="shared" ca="1" si="0"/>
        <v>-23.704572459378625</v>
      </c>
    </row>
    <row r="50" spans="1:6" x14ac:dyDescent="0.2">
      <c r="A50" s="1">
        <v>38</v>
      </c>
      <c r="B50" s="1">
        <f t="shared" ca="1" si="1"/>
        <v>0.81269116690143162</v>
      </c>
      <c r="C50" s="1">
        <f t="shared" ca="1" si="2"/>
        <v>0.88785702078053563</v>
      </c>
      <c r="D50" s="1">
        <f t="shared" ca="1" si="3"/>
        <v>162.34178731047572</v>
      </c>
      <c r="E50" s="1">
        <f t="shared" si="4"/>
        <v>182.78951810254014</v>
      </c>
      <c r="F50" s="1">
        <f t="shared" ca="1" si="0"/>
        <v>-20.447730792064419</v>
      </c>
    </row>
    <row r="51" spans="1:6" x14ac:dyDescent="0.2">
      <c r="A51" s="1">
        <v>39</v>
      </c>
      <c r="B51" s="1">
        <f t="shared" ca="1" si="1"/>
        <v>1.7472625605663539E-2</v>
      </c>
      <c r="C51" s="1">
        <f t="shared" ca="1" si="2"/>
        <v>-2.1089922428369952</v>
      </c>
      <c r="D51" s="1">
        <f t="shared" ca="1" si="3"/>
        <v>154.72761248035397</v>
      </c>
      <c r="E51" s="1">
        <f t="shared" si="4"/>
        <v>182.81801291324845</v>
      </c>
      <c r="F51" s="1">
        <f t="shared" ca="1" si="0"/>
        <v>-28.090400432894484</v>
      </c>
    </row>
    <row r="52" spans="1:6" x14ac:dyDescent="0.2">
      <c r="A52" s="1">
        <v>40</v>
      </c>
      <c r="B52" s="1">
        <f t="shared" ca="1" si="1"/>
        <v>0.9544077555996332</v>
      </c>
      <c r="C52" s="1">
        <f t="shared" ca="1" si="2"/>
        <v>1.6891823578897995</v>
      </c>
      <c r="D52" s="1">
        <f t="shared" ca="1" si="3"/>
        <v>160.84198034500619</v>
      </c>
      <c r="E52" s="1">
        <f t="shared" si="4"/>
        <v>182.84651216597425</v>
      </c>
      <c r="F52" s="1">
        <f t="shared" ca="1" si="0"/>
        <v>-22.004531820968054</v>
      </c>
    </row>
    <row r="53" spans="1:6" x14ac:dyDescent="0.2">
      <c r="A53" s="1">
        <v>41</v>
      </c>
      <c r="B53" s="1">
        <f t="shared" ca="1" si="1"/>
        <v>0.97030993179484926</v>
      </c>
      <c r="C53" s="1">
        <f t="shared" ca="1" si="2"/>
        <v>1.8853682581428328</v>
      </c>
      <c r="D53" s="1">
        <f t="shared" ca="1" si="3"/>
        <v>167.94922328306109</v>
      </c>
      <c r="E53" s="1">
        <f t="shared" si="4"/>
        <v>182.87501586140999</v>
      </c>
      <c r="F53" s="1">
        <f t="shared" ca="1" si="0"/>
        <v>-14.925792578348904</v>
      </c>
    </row>
    <row r="54" spans="1:6" x14ac:dyDescent="0.2">
      <c r="A54" s="1">
        <v>42</v>
      </c>
      <c r="B54" s="1">
        <f t="shared" ca="1" si="1"/>
        <v>0.29015796450238107</v>
      </c>
      <c r="C54" s="1">
        <f t="shared" ca="1" si="2"/>
        <v>-0.55292330423076963</v>
      </c>
      <c r="D54" s="1">
        <f t="shared" ca="1" si="3"/>
        <v>165.86636967139029</v>
      </c>
      <c r="E54" s="1">
        <f t="shared" si="4"/>
        <v>182.90352400024827</v>
      </c>
      <c r="F54" s="1">
        <f t="shared" ca="1" si="0"/>
        <v>-17.03715432885798</v>
      </c>
    </row>
    <row r="55" spans="1:6" x14ac:dyDescent="0.2">
      <c r="A55" s="1">
        <v>43</v>
      </c>
      <c r="B55" s="1">
        <f t="shared" ca="1" si="1"/>
        <v>0.27286662536252193</v>
      </c>
      <c r="C55" s="1">
        <f t="shared" ca="1" si="2"/>
        <v>-0.60416604887242509</v>
      </c>
      <c r="D55" s="1">
        <f t="shared" ca="1" si="3"/>
        <v>163.61764312383198</v>
      </c>
      <c r="E55" s="1">
        <f t="shared" si="4"/>
        <v>182.93203658318174</v>
      </c>
      <c r="F55" s="1">
        <f t="shared" ca="1" si="0"/>
        <v>-19.314393459349759</v>
      </c>
    </row>
    <row r="56" spans="1:6" x14ac:dyDescent="0.2">
      <c r="A56" s="1">
        <v>44</v>
      </c>
      <c r="B56" s="1">
        <f t="shared" ca="1" si="1"/>
        <v>4.8164540270735468E-2</v>
      </c>
      <c r="C56" s="1">
        <f t="shared" ca="1" si="2"/>
        <v>-1.6629168522238797</v>
      </c>
      <c r="D56" s="1">
        <f t="shared" ca="1" si="3"/>
        <v>157.54136477604672</v>
      </c>
      <c r="E56" s="1">
        <f t="shared" si="4"/>
        <v>182.96055361090319</v>
      </c>
      <c r="F56" s="1">
        <f t="shared" ca="1" si="0"/>
        <v>-25.41918883485647</v>
      </c>
    </row>
    <row r="57" spans="1:6" x14ac:dyDescent="0.2">
      <c r="A57" s="1">
        <v>45</v>
      </c>
      <c r="B57" s="1">
        <f t="shared" ca="1" si="1"/>
        <v>4.3902046873321998E-2</v>
      </c>
      <c r="C57" s="1">
        <f t="shared" ca="1" si="2"/>
        <v>-1.7070966281547792</v>
      </c>
      <c r="D57" s="1">
        <f t="shared" ca="1" si="3"/>
        <v>151.53767603039074</v>
      </c>
      <c r="E57" s="1">
        <f t="shared" si="4"/>
        <v>182.98907508410554</v>
      </c>
      <c r="F57" s="1">
        <f t="shared" ca="1" si="0"/>
        <v>-31.451399053714795</v>
      </c>
    </row>
    <row r="58" spans="1:6" x14ac:dyDescent="0.2">
      <c r="A58" s="1">
        <v>46</v>
      </c>
      <c r="B58" s="1">
        <f t="shared" ca="1" si="1"/>
        <v>0.75629547911694928</v>
      </c>
      <c r="C58" s="1">
        <f t="shared" ca="1" si="2"/>
        <v>0.69443565229936322</v>
      </c>
      <c r="D58" s="1">
        <f t="shared" ca="1" si="3"/>
        <v>153.98559003816044</v>
      </c>
      <c r="E58" s="1">
        <f t="shared" si="4"/>
        <v>183.01760100348176</v>
      </c>
      <c r="F58" s="1">
        <f t="shared" ca="1" si="0"/>
        <v>-29.032010965321319</v>
      </c>
    </row>
    <row r="59" spans="1:6" x14ac:dyDescent="0.2">
      <c r="A59" s="1">
        <v>47</v>
      </c>
      <c r="B59" s="1">
        <f t="shared" ca="1" si="1"/>
        <v>0.1007066169440225</v>
      </c>
      <c r="C59" s="1">
        <f t="shared" ca="1" si="2"/>
        <v>-1.277535561434904</v>
      </c>
      <c r="D59" s="1">
        <f t="shared" ca="1" si="3"/>
        <v>149.57850147611822</v>
      </c>
      <c r="E59" s="1">
        <f t="shared" si="4"/>
        <v>183.04613136972495</v>
      </c>
      <c r="F59" s="1">
        <f t="shared" ca="1" si="0"/>
        <v>-33.467629893606727</v>
      </c>
    </row>
    <row r="60" spans="1:6" x14ac:dyDescent="0.2">
      <c r="A60" s="1">
        <v>48</v>
      </c>
      <c r="B60" s="1">
        <f t="shared" ca="1" si="1"/>
        <v>0.96776635975854897</v>
      </c>
      <c r="C60" s="1">
        <f t="shared" ca="1" si="2"/>
        <v>1.8489344361755389</v>
      </c>
      <c r="D60" s="1">
        <f t="shared" ca="1" si="3"/>
        <v>156.05805404028894</v>
      </c>
      <c r="E60" s="1">
        <f t="shared" si="4"/>
        <v>183.07466618352834</v>
      </c>
      <c r="F60" s="1">
        <f t="shared" ca="1" si="0"/>
        <v>-27.016612143239399</v>
      </c>
    </row>
    <row r="61" spans="1:6" x14ac:dyDescent="0.2">
      <c r="A61" s="1">
        <v>49</v>
      </c>
      <c r="B61" s="1">
        <f t="shared" ca="1" si="1"/>
        <v>0.58021362674742816</v>
      </c>
      <c r="C61" s="1">
        <f t="shared" ca="1" si="2"/>
        <v>0.20244001753803859</v>
      </c>
      <c r="D61" s="1">
        <f t="shared" ca="1" si="3"/>
        <v>156.80609935303298</v>
      </c>
      <c r="E61" s="1">
        <f t="shared" si="4"/>
        <v>183.10320544558525</v>
      </c>
      <c r="F61" s="1">
        <f t="shared" ca="1" si="0"/>
        <v>-26.297106092552269</v>
      </c>
    </row>
    <row r="62" spans="1:6" x14ac:dyDescent="0.2">
      <c r="A62" s="1">
        <v>50</v>
      </c>
      <c r="B62" s="1">
        <f t="shared" ca="1" si="1"/>
        <v>0.56471592279330718</v>
      </c>
      <c r="C62" s="1">
        <f t="shared" ca="1" si="2"/>
        <v>0.16293685252948059</v>
      </c>
      <c r="D62" s="1">
        <f t="shared" ca="1" si="3"/>
        <v>157.41556634552506</v>
      </c>
      <c r="E62" s="1">
        <f t="shared" si="4"/>
        <v>183.13174915658911</v>
      </c>
      <c r="F62" s="1">
        <f t="shared" ca="1" si="0"/>
        <v>-25.716182811064044</v>
      </c>
    </row>
    <row r="63" spans="1:6" x14ac:dyDescent="0.2">
      <c r="A63" s="1">
        <v>51</v>
      </c>
      <c r="B63" s="1">
        <f t="shared" ca="1" si="1"/>
        <v>0.66191817046940871</v>
      </c>
      <c r="C63" s="1">
        <f t="shared" ca="1" si="2"/>
        <v>0.4177038472892578</v>
      </c>
      <c r="D63" s="1">
        <f t="shared" ca="1" si="3"/>
        <v>158.95008907567285</v>
      </c>
      <c r="E63" s="1">
        <f t="shared" si="4"/>
        <v>183.16029731723347</v>
      </c>
      <c r="F63" s="1">
        <f t="shared" ca="1" si="0"/>
        <v>-24.210208241560622</v>
      </c>
    </row>
    <row r="64" spans="1:6" x14ac:dyDescent="0.2">
      <c r="A64" s="1">
        <v>52</v>
      </c>
      <c r="B64" s="1">
        <f t="shared" ca="1" si="1"/>
        <v>0.42848146506594376</v>
      </c>
      <c r="C64" s="1">
        <f t="shared" ca="1" si="2"/>
        <v>-0.18024156303277497</v>
      </c>
      <c r="D64" s="1">
        <f t="shared" ca="1" si="3"/>
        <v>158.32143118775409</v>
      </c>
      <c r="E64" s="1">
        <f t="shared" si="4"/>
        <v>183.18884992821199</v>
      </c>
      <c r="F64" s="1">
        <f t="shared" ca="1" si="0"/>
        <v>-24.867418740457907</v>
      </c>
    </row>
    <row r="65" spans="1:6" x14ac:dyDescent="0.2">
      <c r="A65" s="1">
        <v>53</v>
      </c>
      <c r="B65" s="1">
        <f t="shared" ca="1" si="1"/>
        <v>2.7277750567196279E-2</v>
      </c>
      <c r="C65" s="1">
        <f t="shared" ca="1" si="2"/>
        <v>-1.9223995582500981</v>
      </c>
      <c r="D65" s="1">
        <f t="shared" ca="1" si="3"/>
        <v>151.54060030680773</v>
      </c>
      <c r="E65" s="1">
        <f t="shared" si="4"/>
        <v>183.21740699021842</v>
      </c>
      <c r="F65" s="1">
        <f t="shared" ca="1" si="0"/>
        <v>-31.676806683410689</v>
      </c>
    </row>
    <row r="66" spans="1:6" x14ac:dyDescent="0.2">
      <c r="A66" s="1">
        <v>54</v>
      </c>
      <c r="B66" s="1">
        <f t="shared" ca="1" si="1"/>
        <v>0.65956911028522791</v>
      </c>
      <c r="C66" s="1">
        <f t="shared" ca="1" si="2"/>
        <v>0.41128743839189708</v>
      </c>
      <c r="D66" s="1">
        <f t="shared" ca="1" si="3"/>
        <v>152.99541803823308</v>
      </c>
      <c r="E66" s="1">
        <f t="shared" si="4"/>
        <v>183.24596850394661</v>
      </c>
      <c r="F66" s="1">
        <f t="shared" ca="1" si="0"/>
        <v>-30.25055046571353</v>
      </c>
    </row>
    <row r="67" spans="1:6" x14ac:dyDescent="0.2">
      <c r="A67" s="1">
        <v>55</v>
      </c>
      <c r="B67" s="1">
        <f t="shared" ca="1" si="1"/>
        <v>0.89783370900930293</v>
      </c>
      <c r="C67" s="1">
        <f t="shared" ca="1" si="2"/>
        <v>1.2693042196087201</v>
      </c>
      <c r="D67" s="1">
        <f t="shared" ca="1" si="3"/>
        <v>157.52265774809314</v>
      </c>
      <c r="E67" s="1">
        <f t="shared" si="4"/>
        <v>183.27453447009054</v>
      </c>
      <c r="F67" s="1">
        <f t="shared" ca="1" si="0"/>
        <v>-25.751876721997405</v>
      </c>
    </row>
    <row r="68" spans="1:6" x14ac:dyDescent="0.2">
      <c r="A68" s="1">
        <v>56</v>
      </c>
      <c r="B68" s="1">
        <f t="shared" ca="1" si="1"/>
        <v>0.81039074483761953</v>
      </c>
      <c r="C68" s="1">
        <f t="shared" ca="1" si="2"/>
        <v>0.87933712844921474</v>
      </c>
      <c r="D68" s="1">
        <f t="shared" ca="1" si="3"/>
        <v>160.74501018179564</v>
      </c>
      <c r="E68" s="1">
        <f t="shared" si="4"/>
        <v>183.30310488934427</v>
      </c>
      <c r="F68" s="1">
        <f t="shared" ca="1" si="0"/>
        <v>-22.558094707548634</v>
      </c>
    </row>
    <row r="69" spans="1:6" x14ac:dyDescent="0.2">
      <c r="A69" s="1">
        <v>57</v>
      </c>
      <c r="B69" s="1">
        <f t="shared" ca="1" si="1"/>
        <v>0.61212137290706026</v>
      </c>
      <c r="C69" s="1">
        <f t="shared" ca="1" si="2"/>
        <v>0.28485236196001634</v>
      </c>
      <c r="D69" s="1">
        <f t="shared" ca="1" si="3"/>
        <v>161.81998134392032</v>
      </c>
      <c r="E69" s="1">
        <f t="shared" si="4"/>
        <v>183.33167976240202</v>
      </c>
      <c r="F69" s="1">
        <f t="shared" ca="1" si="0"/>
        <v>-21.5116984184817</v>
      </c>
    </row>
    <row r="70" spans="1:6" x14ac:dyDescent="0.2">
      <c r="A70" s="1">
        <v>58</v>
      </c>
      <c r="B70" s="1">
        <f t="shared" ca="1" si="1"/>
        <v>0.45173467840362314</v>
      </c>
      <c r="C70" s="1">
        <f t="shared" ca="1" si="2"/>
        <v>-0.12127987873663591</v>
      </c>
      <c r="D70" s="1">
        <f t="shared" ca="1" si="3"/>
        <v>161.39728676912378</v>
      </c>
      <c r="E70" s="1">
        <f t="shared" si="4"/>
        <v>183.36025908995808</v>
      </c>
      <c r="F70" s="1">
        <f t="shared" ca="1" si="0"/>
        <v>-21.962972320834297</v>
      </c>
    </row>
    <row r="71" spans="1:6" x14ac:dyDescent="0.2">
      <c r="A71" s="1">
        <v>59</v>
      </c>
      <c r="B71" s="1">
        <f t="shared" ca="1" si="1"/>
        <v>0.49510193192981333</v>
      </c>
      <c r="C71" s="1">
        <f t="shared" ca="1" si="2"/>
        <v>-1.2277944387915043E-2</v>
      </c>
      <c r="D71" s="1">
        <f t="shared" ca="1" si="3"/>
        <v>161.37716299631194</v>
      </c>
      <c r="E71" s="1">
        <f t="shared" si="4"/>
        <v>183.38884287270685</v>
      </c>
      <c r="F71" s="1">
        <f t="shared" ca="1" si="0"/>
        <v>-22.011679876394908</v>
      </c>
    </row>
    <row r="72" spans="1:6" x14ac:dyDescent="0.2">
      <c r="A72" s="1">
        <v>60</v>
      </c>
      <c r="B72" s="1">
        <f t="shared" ca="1" si="1"/>
        <v>0.2499564387439186</v>
      </c>
      <c r="C72" s="1">
        <f t="shared" ca="1" si="2"/>
        <v>-0.6746268379298026</v>
      </c>
      <c r="D72" s="1">
        <f t="shared" ca="1" si="3"/>
        <v>158.93318913918333</v>
      </c>
      <c r="E72" s="1">
        <f t="shared" si="4"/>
        <v>183.41743111134284</v>
      </c>
      <c r="F72" s="1">
        <f t="shared" ca="1" si="0"/>
        <v>-24.484241972159509</v>
      </c>
    </row>
    <row r="73" spans="1:6" x14ac:dyDescent="0.2">
      <c r="A73" s="1">
        <v>61</v>
      </c>
      <c r="B73" s="1">
        <f t="shared" ca="1" si="1"/>
        <v>0.84383406353962731</v>
      </c>
      <c r="C73" s="1">
        <f t="shared" ca="1" si="2"/>
        <v>1.0103411490943899</v>
      </c>
      <c r="D73" s="1">
        <f t="shared" ca="1" si="3"/>
        <v>162.67064409823232</v>
      </c>
      <c r="E73" s="1">
        <f t="shared" si="4"/>
        <v>183.44602380656067</v>
      </c>
      <c r="F73" s="1">
        <f t="shared" ca="1" si="0"/>
        <v>-20.775379708328359</v>
      </c>
    </row>
    <row r="74" spans="1:6" x14ac:dyDescent="0.2">
      <c r="A74" s="1">
        <v>62</v>
      </c>
      <c r="B74" s="1">
        <f t="shared" ca="1" si="1"/>
        <v>1.3850247037639485E-2</v>
      </c>
      <c r="C74" s="1">
        <f t="shared" ca="1" si="2"/>
        <v>-2.2015021582240073</v>
      </c>
      <c r="D74" s="1">
        <f t="shared" ca="1" si="3"/>
        <v>154.71363665645109</v>
      </c>
      <c r="E74" s="1">
        <f t="shared" si="4"/>
        <v>183.4746209590551</v>
      </c>
      <c r="F74" s="1">
        <f t="shared" ca="1" si="0"/>
        <v>-28.760984302604015</v>
      </c>
    </row>
    <row r="75" spans="1:6" x14ac:dyDescent="0.2">
      <c r="A75" s="1">
        <v>63</v>
      </c>
      <c r="B75" s="1">
        <f t="shared" ca="1" si="1"/>
        <v>0.57904659447881957</v>
      </c>
      <c r="C75" s="1">
        <f t="shared" ca="1" si="2"/>
        <v>0.19945503813170992</v>
      </c>
      <c r="D75" s="1">
        <f t="shared" ca="1" si="3"/>
        <v>155.44463425017935</v>
      </c>
      <c r="E75" s="1">
        <f t="shared" si="4"/>
        <v>183.50322256952094</v>
      </c>
      <c r="F75" s="1">
        <f t="shared" ca="1" si="0"/>
        <v>-28.058588319341595</v>
      </c>
    </row>
    <row r="76" spans="1:6" x14ac:dyDescent="0.2">
      <c r="A76" s="1">
        <v>64</v>
      </c>
      <c r="B76" s="1">
        <f t="shared" ca="1" si="1"/>
        <v>2.2571252321715529E-2</v>
      </c>
      <c r="C76" s="1">
        <f t="shared" ca="1" si="2"/>
        <v>-2.0033241716811183</v>
      </c>
      <c r="D76" s="1">
        <f t="shared" ca="1" si="3"/>
        <v>148.51212570048611</v>
      </c>
      <c r="E76" s="1">
        <f t="shared" si="4"/>
        <v>183.53182863865314</v>
      </c>
      <c r="F76" s="1">
        <f t="shared" ca="1" si="0"/>
        <v>-35.019702938167029</v>
      </c>
    </row>
    <row r="77" spans="1:6" x14ac:dyDescent="0.2">
      <c r="A77" s="1">
        <v>65</v>
      </c>
      <c r="B77" s="1">
        <f t="shared" ca="1" si="1"/>
        <v>0.29280750938785427</v>
      </c>
      <c r="C77" s="1">
        <f t="shared" ca="1" si="2"/>
        <v>-0.54520138543461383</v>
      </c>
      <c r="D77" s="1">
        <f t="shared" ca="1" si="3"/>
        <v>146.69620818742112</v>
      </c>
      <c r="E77" s="1">
        <f t="shared" si="4"/>
        <v>183.56043916714677</v>
      </c>
      <c r="F77" s="1">
        <f t="shared" ref="F77:F112" ca="1" si="5">D77-E77</f>
        <v>-36.864230979725647</v>
      </c>
    </row>
    <row r="78" spans="1:6" x14ac:dyDescent="0.2">
      <c r="A78" s="1">
        <v>66</v>
      </c>
      <c r="B78" s="1">
        <f t="shared" ref="B78:B112" ca="1" si="6">RAND()</f>
        <v>1.655890964906237E-2</v>
      </c>
      <c r="C78" s="1">
        <f t="shared" ref="C78:C112" ca="1" si="7">_xlfn.NORM.S.INV(B78)</f>
        <v>-2.1306520354828136</v>
      </c>
      <c r="D78" s="1">
        <f t="shared" ref="D78:D112" ca="1" si="8">D77*EXP($B$8*$B$5+$B$7*C78*SQRT($B$5))</f>
        <v>139.74665843176075</v>
      </c>
      <c r="E78" s="1">
        <f t="shared" ref="E78:E112" si="9">E77*EXP($B$8*$B$5)</f>
        <v>183.58905415569697</v>
      </c>
      <c r="F78" s="1">
        <f t="shared" ca="1" si="5"/>
        <v>-43.842395723936221</v>
      </c>
    </row>
    <row r="79" spans="1:6" x14ac:dyDescent="0.2">
      <c r="A79" s="1">
        <v>67</v>
      </c>
      <c r="B79" s="1">
        <f t="shared" ca="1" si="6"/>
        <v>0.98032382276671959</v>
      </c>
      <c r="C79" s="1">
        <f t="shared" ca="1" si="7"/>
        <v>2.0604833657262507</v>
      </c>
      <c r="D79" s="1">
        <f t="shared" ca="1" si="8"/>
        <v>146.50684248572853</v>
      </c>
      <c r="E79" s="1">
        <f t="shared" si="9"/>
        <v>183.61767360499903</v>
      </c>
      <c r="F79" s="1">
        <f t="shared" ca="1" si="5"/>
        <v>-37.1108311192705</v>
      </c>
    </row>
    <row r="80" spans="1:6" x14ac:dyDescent="0.2">
      <c r="A80" s="1">
        <v>68</v>
      </c>
      <c r="B80" s="1">
        <f t="shared" ca="1" si="6"/>
        <v>0.2278800759912406</v>
      </c>
      <c r="C80" s="1">
        <f t="shared" ca="1" si="7"/>
        <v>-0.74584649102557854</v>
      </c>
      <c r="D80" s="1">
        <f t="shared" ca="1" si="8"/>
        <v>144.05343797539689</v>
      </c>
      <c r="E80" s="1">
        <f t="shared" si="9"/>
        <v>183.64629751574833</v>
      </c>
      <c r="F80" s="1">
        <f t="shared" ca="1" si="5"/>
        <v>-39.592859540351441</v>
      </c>
    </row>
    <row r="81" spans="1:6" x14ac:dyDescent="0.2">
      <c r="A81" s="1">
        <v>69</v>
      </c>
      <c r="B81" s="1">
        <f t="shared" ca="1" si="6"/>
        <v>0.14125176047788535</v>
      </c>
      <c r="C81" s="1">
        <f t="shared" ca="1" si="7"/>
        <v>-1.0747123763595765</v>
      </c>
      <c r="D81" s="1">
        <f t="shared" ca="1" si="8"/>
        <v>140.58066549573124</v>
      </c>
      <c r="E81" s="1">
        <f t="shared" si="9"/>
        <v>183.67492588864036</v>
      </c>
      <c r="F81" s="1">
        <f t="shared" ca="1" si="5"/>
        <v>-43.094260392909121</v>
      </c>
    </row>
    <row r="82" spans="1:6" x14ac:dyDescent="0.2">
      <c r="A82" s="1">
        <v>70</v>
      </c>
      <c r="B82" s="1">
        <f t="shared" ca="1" si="6"/>
        <v>0.21968550479667825</v>
      </c>
      <c r="C82" s="1">
        <f t="shared" ca="1" si="7"/>
        <v>-0.77325579818991708</v>
      </c>
      <c r="D82" s="1">
        <f t="shared" ca="1" si="8"/>
        <v>138.13995072660947</v>
      </c>
      <c r="E82" s="1">
        <f t="shared" si="9"/>
        <v>183.70355872437071</v>
      </c>
      <c r="F82" s="1">
        <f t="shared" ca="1" si="5"/>
        <v>-45.563607997761238</v>
      </c>
    </row>
    <row r="83" spans="1:6" x14ac:dyDescent="0.2">
      <c r="A83" s="1">
        <v>71</v>
      </c>
      <c r="B83" s="1">
        <f t="shared" ca="1" si="6"/>
        <v>0.64580796201295665</v>
      </c>
      <c r="C83" s="1">
        <f t="shared" ca="1" si="7"/>
        <v>0.374027205129148</v>
      </c>
      <c r="D83" s="1">
        <f t="shared" ca="1" si="8"/>
        <v>139.34742175086632</v>
      </c>
      <c r="E83" s="1">
        <f t="shared" si="9"/>
        <v>183.73219602363508</v>
      </c>
      <c r="F83" s="1">
        <f t="shared" ca="1" si="5"/>
        <v>-44.384774272768766</v>
      </c>
    </row>
    <row r="84" spans="1:6" x14ac:dyDescent="0.2">
      <c r="A84" s="1">
        <v>72</v>
      </c>
      <c r="B84" s="1">
        <f t="shared" ca="1" si="6"/>
        <v>0.46456318223358961</v>
      </c>
      <c r="C84" s="1">
        <f t="shared" ca="1" si="7"/>
        <v>-8.8944063780993773E-2</v>
      </c>
      <c r="D84" s="1">
        <f t="shared" ca="1" si="8"/>
        <v>139.08616406316946</v>
      </c>
      <c r="E84" s="1">
        <f t="shared" si="9"/>
        <v>183.7608377871293</v>
      </c>
      <c r="F84" s="1">
        <f t="shared" ca="1" si="5"/>
        <v>-44.674673723959842</v>
      </c>
    </row>
    <row r="85" spans="1:6" x14ac:dyDescent="0.2">
      <c r="A85" s="1">
        <v>73</v>
      </c>
      <c r="B85" s="1">
        <f t="shared" ca="1" si="6"/>
        <v>0.66584144624159303</v>
      </c>
      <c r="C85" s="1">
        <f t="shared" ca="1" si="7"/>
        <v>0.42845882143532238</v>
      </c>
      <c r="D85" s="1">
        <f t="shared" ca="1" si="8"/>
        <v>140.47652784823606</v>
      </c>
      <c r="E85" s="1">
        <f t="shared" si="9"/>
        <v>183.78948401554928</v>
      </c>
      <c r="F85" s="1">
        <f t="shared" ca="1" si="5"/>
        <v>-43.312956167313217</v>
      </c>
    </row>
    <row r="86" spans="1:6" x14ac:dyDescent="0.2">
      <c r="A86" s="1">
        <v>74</v>
      </c>
      <c r="B86" s="1">
        <f t="shared" ca="1" si="6"/>
        <v>0.59149801782524214</v>
      </c>
      <c r="C86" s="1">
        <f t="shared" ca="1" si="7"/>
        <v>0.23140012977852345</v>
      </c>
      <c r="D86" s="1">
        <f t="shared" ca="1" si="8"/>
        <v>141.24332622154989</v>
      </c>
      <c r="E86" s="1">
        <f t="shared" si="9"/>
        <v>183.81813470959105</v>
      </c>
      <c r="F86" s="1">
        <f t="shared" ca="1" si="5"/>
        <v>-42.574808488041157</v>
      </c>
    </row>
    <row r="87" spans="1:6" x14ac:dyDescent="0.2">
      <c r="A87" s="1">
        <v>75</v>
      </c>
      <c r="B87" s="1">
        <f t="shared" ca="1" si="6"/>
        <v>5.9907819237127624E-2</v>
      </c>
      <c r="C87" s="1">
        <f t="shared" ca="1" si="7"/>
        <v>-1.5555478892016317</v>
      </c>
      <c r="D87" s="1">
        <f t="shared" ca="1" si="8"/>
        <v>136.33205005514787</v>
      </c>
      <c r="E87" s="1">
        <f t="shared" si="9"/>
        <v>183.84678986995075</v>
      </c>
      <c r="F87" s="1">
        <f t="shared" ca="1" si="5"/>
        <v>-47.51473981480288</v>
      </c>
    </row>
    <row r="88" spans="1:6" x14ac:dyDescent="0.2">
      <c r="A88" s="1">
        <v>76</v>
      </c>
      <c r="B88" s="1">
        <f t="shared" ca="1" si="6"/>
        <v>1.5088696373648625E-2</v>
      </c>
      <c r="C88" s="1">
        <f t="shared" ca="1" si="7"/>
        <v>-2.1677542063346937</v>
      </c>
      <c r="D88" s="1">
        <f t="shared" ca="1" si="8"/>
        <v>129.76342423204576</v>
      </c>
      <c r="E88" s="1">
        <f t="shared" si="9"/>
        <v>183.87544949732467</v>
      </c>
      <c r="F88" s="1">
        <f t="shared" ca="1" si="5"/>
        <v>-54.112025265278902</v>
      </c>
    </row>
    <row r="89" spans="1:6" x14ac:dyDescent="0.2">
      <c r="A89" s="1">
        <v>77</v>
      </c>
      <c r="B89" s="1">
        <f t="shared" ca="1" si="6"/>
        <v>0.82348864017493117</v>
      </c>
      <c r="C89" s="1">
        <f t="shared" ca="1" si="7"/>
        <v>0.92874217225066791</v>
      </c>
      <c r="D89" s="1">
        <f t="shared" ca="1" si="8"/>
        <v>132.56750290505403</v>
      </c>
      <c r="E89" s="1">
        <f t="shared" si="9"/>
        <v>183.90411359240912</v>
      </c>
      <c r="F89" s="1">
        <f t="shared" ca="1" si="5"/>
        <v>-51.33661068735509</v>
      </c>
    </row>
    <row r="90" spans="1:6" x14ac:dyDescent="0.2">
      <c r="A90" s="1">
        <v>78</v>
      </c>
      <c r="B90" s="1">
        <f t="shared" ca="1" si="6"/>
        <v>0.42145941262754361</v>
      </c>
      <c r="C90" s="1">
        <f t="shared" ca="1" si="7"/>
        <v>-0.19816135099910048</v>
      </c>
      <c r="D90" s="1">
        <f t="shared" ca="1" si="8"/>
        <v>131.9891301142049</v>
      </c>
      <c r="E90" s="1">
        <f t="shared" si="9"/>
        <v>183.93278215590058</v>
      </c>
      <c r="F90" s="1">
        <f t="shared" ca="1" si="5"/>
        <v>-51.943652041695685</v>
      </c>
    </row>
    <row r="91" spans="1:6" x14ac:dyDescent="0.2">
      <c r="A91" s="1">
        <v>79</v>
      </c>
      <c r="B91" s="1">
        <f t="shared" ca="1" si="6"/>
        <v>3.1542036034026943E-2</v>
      </c>
      <c r="C91" s="1">
        <f t="shared" ca="1" si="7"/>
        <v>-1.8585984846322599</v>
      </c>
      <c r="D91" s="1">
        <f t="shared" ca="1" si="8"/>
        <v>126.52042481678548</v>
      </c>
      <c r="E91" s="1">
        <f t="shared" si="9"/>
        <v>183.96145518849562</v>
      </c>
      <c r="F91" s="1">
        <f t="shared" ca="1" si="5"/>
        <v>-57.441030371710141</v>
      </c>
    </row>
    <row r="92" spans="1:6" x14ac:dyDescent="0.2">
      <c r="A92" s="1">
        <v>80</v>
      </c>
      <c r="B92" s="1">
        <f t="shared" ca="1" si="6"/>
        <v>0.15428034091976128</v>
      </c>
      <c r="C92" s="1">
        <f t="shared" ca="1" si="7"/>
        <v>-1.0182468038975037</v>
      </c>
      <c r="D92" s="1">
        <f t="shared" ca="1" si="8"/>
        <v>123.62974913732003</v>
      </c>
      <c r="E92" s="1">
        <f t="shared" si="9"/>
        <v>183.9901326908909</v>
      </c>
      <c r="F92" s="1">
        <f t="shared" ca="1" si="5"/>
        <v>-60.36038355357087</v>
      </c>
    </row>
    <row r="93" spans="1:6" x14ac:dyDescent="0.2">
      <c r="A93" s="1">
        <v>81</v>
      </c>
      <c r="B93" s="1">
        <f t="shared" ca="1" si="6"/>
        <v>0.94714844758743999</v>
      </c>
      <c r="C93" s="1">
        <f t="shared" ca="1" si="7"/>
        <v>1.6178120680259582</v>
      </c>
      <c r="D93" s="1">
        <f t="shared" ca="1" si="8"/>
        <v>128.30579674189872</v>
      </c>
      <c r="E93" s="1">
        <f t="shared" si="9"/>
        <v>184.01881466378325</v>
      </c>
      <c r="F93" s="1">
        <f t="shared" ca="1" si="5"/>
        <v>-55.713017921884529</v>
      </c>
    </row>
    <row r="94" spans="1:6" x14ac:dyDescent="0.2">
      <c r="A94" s="1">
        <v>82</v>
      </c>
      <c r="B94" s="1">
        <f t="shared" ca="1" si="6"/>
        <v>0.54442600632092653</v>
      </c>
      <c r="C94" s="1">
        <f t="shared" ca="1" si="7"/>
        <v>0.11159064820559886</v>
      </c>
      <c r="D94" s="1">
        <f t="shared" ca="1" si="8"/>
        <v>128.65344772962095</v>
      </c>
      <c r="E94" s="1">
        <f t="shared" si="9"/>
        <v>184.04750110786955</v>
      </c>
      <c r="F94" s="1">
        <f t="shared" ca="1" si="5"/>
        <v>-55.3940533782486</v>
      </c>
    </row>
    <row r="95" spans="1:6" x14ac:dyDescent="0.2">
      <c r="A95" s="1">
        <v>83</v>
      </c>
      <c r="B95" s="1">
        <f t="shared" ca="1" si="6"/>
        <v>0.42914865622367959</v>
      </c>
      <c r="C95" s="1">
        <f t="shared" ca="1" si="7"/>
        <v>-0.17854203484213416</v>
      </c>
      <c r="D95" s="1">
        <f t="shared" ca="1" si="8"/>
        <v>128.14959182973817</v>
      </c>
      <c r="E95" s="1">
        <f t="shared" si="9"/>
        <v>184.07619202384683</v>
      </c>
      <c r="F95" s="1">
        <f t="shared" ca="1" si="5"/>
        <v>-55.926600194108659</v>
      </c>
    </row>
    <row r="96" spans="1:6" x14ac:dyDescent="0.2">
      <c r="A96" s="1">
        <v>84</v>
      </c>
      <c r="B96" s="1">
        <f t="shared" ca="1" si="6"/>
        <v>0.79935623754842744</v>
      </c>
      <c r="C96" s="1">
        <f t="shared" ca="1" si="7"/>
        <v>0.83932398940159558</v>
      </c>
      <c r="D96" s="1">
        <f t="shared" ca="1" si="8"/>
        <v>130.65155894713774</v>
      </c>
      <c r="E96" s="1">
        <f t="shared" si="9"/>
        <v>184.10488741241218</v>
      </c>
      <c r="F96" s="1">
        <f t="shared" ca="1" si="5"/>
        <v>-53.453328465274438</v>
      </c>
    </row>
    <row r="97" spans="1:6" x14ac:dyDescent="0.2">
      <c r="A97" s="1">
        <v>85</v>
      </c>
      <c r="B97" s="1">
        <f t="shared" ca="1" si="6"/>
        <v>0.5807763204265789</v>
      </c>
      <c r="C97" s="1">
        <f t="shared" ca="1" si="7"/>
        <v>0.20387989168802501</v>
      </c>
      <c r="D97" s="1">
        <f t="shared" ca="1" si="8"/>
        <v>131.28214084914799</v>
      </c>
      <c r="E97" s="1">
        <f t="shared" si="9"/>
        <v>184.13358727426285</v>
      </c>
      <c r="F97" s="1">
        <f t="shared" ca="1" si="5"/>
        <v>-52.851446425114858</v>
      </c>
    </row>
    <row r="98" spans="1:6" x14ac:dyDescent="0.2">
      <c r="A98" s="1">
        <v>86</v>
      </c>
      <c r="B98" s="1">
        <f t="shared" ca="1" si="6"/>
        <v>0.35055989101443641</v>
      </c>
      <c r="C98" s="1">
        <f t="shared" ca="1" si="7"/>
        <v>-0.38380931699599896</v>
      </c>
      <c r="D98" s="1">
        <f t="shared" ca="1" si="8"/>
        <v>130.15603849277815</v>
      </c>
      <c r="E98" s="1">
        <f t="shared" si="9"/>
        <v>184.16229161009613</v>
      </c>
      <c r="F98" s="1">
        <f t="shared" ca="1" si="5"/>
        <v>-54.006253117317982</v>
      </c>
    </row>
    <row r="99" spans="1:6" x14ac:dyDescent="0.2">
      <c r="A99" s="1">
        <v>87</v>
      </c>
      <c r="B99" s="1">
        <f t="shared" ca="1" si="6"/>
        <v>0.75953659437074683</v>
      </c>
      <c r="C99" s="1">
        <f t="shared" ca="1" si="7"/>
        <v>0.70481268840917377</v>
      </c>
      <c r="D99" s="1">
        <f t="shared" ca="1" si="8"/>
        <v>132.28992339036074</v>
      </c>
      <c r="E99" s="1">
        <f t="shared" si="9"/>
        <v>184.1910004206095</v>
      </c>
      <c r="F99" s="1">
        <f t="shared" ca="1" si="5"/>
        <v>-51.901077030248757</v>
      </c>
    </row>
    <row r="100" spans="1:6" x14ac:dyDescent="0.2">
      <c r="A100" s="1">
        <v>88</v>
      </c>
      <c r="B100" s="1">
        <f t="shared" ca="1" si="6"/>
        <v>0.73687267744347318</v>
      </c>
      <c r="C100" s="1">
        <f t="shared" ca="1" si="7"/>
        <v>0.63373367363906297</v>
      </c>
      <c r="D100" s="1">
        <f t="shared" ca="1" si="8"/>
        <v>134.24057426241623</v>
      </c>
      <c r="E100" s="1">
        <f t="shared" si="9"/>
        <v>184.2197137065005</v>
      </c>
      <c r="F100" s="1">
        <f t="shared" ca="1" si="5"/>
        <v>-49.979139444084268</v>
      </c>
    </row>
    <row r="101" spans="1:6" x14ac:dyDescent="0.2">
      <c r="A101" s="1">
        <v>89</v>
      </c>
      <c r="B101" s="1">
        <f t="shared" ca="1" si="6"/>
        <v>0.92898513578532782</v>
      </c>
      <c r="C101" s="1">
        <f t="shared" ca="1" si="7"/>
        <v>1.4682743020006266</v>
      </c>
      <c r="D101" s="1">
        <f t="shared" ca="1" si="8"/>
        <v>138.84269629224536</v>
      </c>
      <c r="E101" s="1">
        <f t="shared" si="9"/>
        <v>184.2484314684668</v>
      </c>
      <c r="F101" s="1">
        <f t="shared" ca="1" si="5"/>
        <v>-45.405735176221441</v>
      </c>
    </row>
    <row r="102" spans="1:6" x14ac:dyDescent="0.2">
      <c r="A102" s="1">
        <v>90</v>
      </c>
      <c r="B102" s="1">
        <f t="shared" ca="1" si="6"/>
        <v>0.84167687122167179</v>
      </c>
      <c r="C102" s="1">
        <f t="shared" ca="1" si="7"/>
        <v>1.0013735273221842</v>
      </c>
      <c r="D102" s="1">
        <f t="shared" ca="1" si="8"/>
        <v>142.07858729497914</v>
      </c>
      <c r="E102" s="1">
        <f t="shared" si="9"/>
        <v>184.27715370720617</v>
      </c>
      <c r="F102" s="1">
        <f t="shared" ca="1" si="5"/>
        <v>-42.198566412227024</v>
      </c>
    </row>
    <row r="103" spans="1:6" x14ac:dyDescent="0.2">
      <c r="A103" s="1">
        <v>91</v>
      </c>
      <c r="B103" s="1">
        <f t="shared" ca="1" si="6"/>
        <v>0.23156638967129772</v>
      </c>
      <c r="C103" s="1">
        <f t="shared" ca="1" si="7"/>
        <v>-0.73369806295912399</v>
      </c>
      <c r="D103" s="1">
        <f t="shared" ca="1" si="8"/>
        <v>139.73812559846408</v>
      </c>
      <c r="E103" s="1">
        <f t="shared" si="9"/>
        <v>184.30588042341648</v>
      </c>
      <c r="F103" s="1">
        <f t="shared" ca="1" si="5"/>
        <v>-44.567754824952402</v>
      </c>
    </row>
    <row r="104" spans="1:6" x14ac:dyDescent="0.2">
      <c r="A104" s="1">
        <v>92</v>
      </c>
      <c r="B104" s="1">
        <f t="shared" ca="1" si="6"/>
        <v>0.65253459787128298</v>
      </c>
      <c r="C104" s="1">
        <f t="shared" ca="1" si="7"/>
        <v>0.39217244249459077</v>
      </c>
      <c r="D104" s="1">
        <f t="shared" ca="1" si="8"/>
        <v>141.01802647642077</v>
      </c>
      <c r="E104" s="1">
        <f t="shared" si="9"/>
        <v>184.33461161779573</v>
      </c>
      <c r="F104" s="1">
        <f t="shared" ca="1" si="5"/>
        <v>-43.316585141374958</v>
      </c>
    </row>
    <row r="105" spans="1:6" x14ac:dyDescent="0.2">
      <c r="A105" s="1">
        <v>93</v>
      </c>
      <c r="B105" s="1">
        <f t="shared" ca="1" si="6"/>
        <v>5.8677455433620018E-4</v>
      </c>
      <c r="C105" s="1">
        <f t="shared" ca="1" si="7"/>
        <v>-3.245232145012793</v>
      </c>
      <c r="D105" s="1">
        <f t="shared" ca="1" si="8"/>
        <v>130.95913241698653</v>
      </c>
      <c r="E105" s="1">
        <f t="shared" si="9"/>
        <v>184.363347291042</v>
      </c>
      <c r="F105" s="1">
        <f t="shared" ca="1" si="5"/>
        <v>-53.404214874055469</v>
      </c>
    </row>
    <row r="106" spans="1:6" x14ac:dyDescent="0.2">
      <c r="A106" s="1">
        <v>94</v>
      </c>
      <c r="B106" s="1">
        <f t="shared" ca="1" si="6"/>
        <v>0.23346172634871953</v>
      </c>
      <c r="C106" s="1">
        <f t="shared" ca="1" si="7"/>
        <v>-0.72749389689121147</v>
      </c>
      <c r="D106" s="1">
        <f t="shared" ca="1" si="8"/>
        <v>128.82010366960941</v>
      </c>
      <c r="E106" s="1">
        <f t="shared" si="9"/>
        <v>184.39208744385351</v>
      </c>
      <c r="F106" s="1">
        <f t="shared" ca="1" si="5"/>
        <v>-55.571983774244103</v>
      </c>
    </row>
    <row r="107" spans="1:6" x14ac:dyDescent="0.2">
      <c r="A107" s="1">
        <v>95</v>
      </c>
      <c r="B107" s="1">
        <f t="shared" ca="1" si="6"/>
        <v>0.61892418684092754</v>
      </c>
      <c r="C107" s="1">
        <f t="shared" ca="1" si="7"/>
        <v>0.30265653338260956</v>
      </c>
      <c r="D107" s="1">
        <f t="shared" ca="1" si="8"/>
        <v>129.73435108135513</v>
      </c>
      <c r="E107" s="1">
        <f t="shared" si="9"/>
        <v>184.42083207692855</v>
      </c>
      <c r="F107" s="1">
        <f t="shared" ca="1" si="5"/>
        <v>-54.686480995573419</v>
      </c>
    </row>
    <row r="108" spans="1:6" x14ac:dyDescent="0.2">
      <c r="A108" s="1">
        <v>96</v>
      </c>
      <c r="B108" s="1">
        <f t="shared" ca="1" si="6"/>
        <v>0.57756905925101154</v>
      </c>
      <c r="C108" s="1">
        <f t="shared" ca="1" si="7"/>
        <v>0.19567841324858554</v>
      </c>
      <c r="D108" s="1">
        <f t="shared" ca="1" si="8"/>
        <v>130.33607680937652</v>
      </c>
      <c r="E108" s="1">
        <f t="shared" si="9"/>
        <v>184.44958119096555</v>
      </c>
      <c r="F108" s="1">
        <f t="shared" ca="1" si="5"/>
        <v>-54.113504381589024</v>
      </c>
    </row>
    <row r="109" spans="1:6" x14ac:dyDescent="0.2">
      <c r="A109" s="1">
        <v>97</v>
      </c>
      <c r="B109" s="1">
        <f t="shared" ca="1" si="6"/>
        <v>0.2331654562780473</v>
      </c>
      <c r="C109" s="1">
        <f t="shared" ca="1" si="7"/>
        <v>-0.72846185216719761</v>
      </c>
      <c r="D109" s="1">
        <f t="shared" ca="1" si="8"/>
        <v>128.2043889687111</v>
      </c>
      <c r="E109" s="1">
        <f t="shared" si="9"/>
        <v>184.47833478666305</v>
      </c>
      <c r="F109" s="1">
        <f t="shared" ca="1" si="5"/>
        <v>-56.273945817951954</v>
      </c>
    </row>
    <row r="110" spans="1:6" x14ac:dyDescent="0.2">
      <c r="A110" s="1">
        <v>98</v>
      </c>
      <c r="B110" s="1">
        <f t="shared" ca="1" si="6"/>
        <v>0.9593318522488572</v>
      </c>
      <c r="C110" s="1">
        <f t="shared" ca="1" si="7"/>
        <v>1.7429846536991827</v>
      </c>
      <c r="D110" s="1">
        <f t="shared" ca="1" si="8"/>
        <v>133.43459098986642</v>
      </c>
      <c r="E110" s="1">
        <f t="shared" si="9"/>
        <v>184.50709286471971</v>
      </c>
      <c r="F110" s="1">
        <f t="shared" ca="1" si="5"/>
        <v>-51.072501874853288</v>
      </c>
    </row>
    <row r="111" spans="1:6" x14ac:dyDescent="0.2">
      <c r="A111" s="1">
        <v>99</v>
      </c>
      <c r="B111" s="1">
        <f t="shared" ca="1" si="6"/>
        <v>0.24834984124155579</v>
      </c>
      <c r="C111" s="1">
        <f t="shared" ca="1" si="7"/>
        <v>-0.67969171590303723</v>
      </c>
      <c r="D111" s="1">
        <f t="shared" ca="1" si="8"/>
        <v>131.3985840319489</v>
      </c>
      <c r="E111" s="1">
        <f t="shared" si="9"/>
        <v>184.53585542583423</v>
      </c>
      <c r="F111" s="1">
        <f t="shared" ca="1" si="5"/>
        <v>-53.137271393885328</v>
      </c>
    </row>
    <row r="112" spans="1:6" x14ac:dyDescent="0.2">
      <c r="A112" s="1">
        <v>100</v>
      </c>
      <c r="B112" s="1">
        <f t="shared" ca="1" si="6"/>
        <v>0.12296596428133233</v>
      </c>
      <c r="C112" s="1">
        <f t="shared" ca="1" si="7"/>
        <v>-1.1602871155100813</v>
      </c>
      <c r="D112" s="1">
        <f t="shared" ca="1" si="8"/>
        <v>127.98037732128917</v>
      </c>
      <c r="E112" s="1">
        <f t="shared" si="9"/>
        <v>184.5646224707055</v>
      </c>
      <c r="F112" s="1">
        <f t="shared" ca="1" si="5"/>
        <v>-56.584245149416333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23F1-F5C3-F142-A23B-EFCD8DA5001E}">
  <dimension ref="A2:X256"/>
  <sheetViews>
    <sheetView tabSelected="1" zoomScale="75" workbookViewId="0">
      <selection activeCell="F49" sqref="F49"/>
    </sheetView>
  </sheetViews>
  <sheetFormatPr baseColWidth="10" defaultRowHeight="16" x14ac:dyDescent="0.2"/>
  <cols>
    <col min="1" max="1" width="23.33203125" style="1" bestFit="1" customWidth="1"/>
    <col min="2" max="2" width="20.83203125" style="1" bestFit="1" customWidth="1"/>
    <col min="3" max="3" width="18.1640625" style="1" bestFit="1" customWidth="1"/>
    <col min="4" max="4" width="10.83203125" style="1"/>
    <col min="5" max="5" width="14.33203125" style="1" bestFit="1" customWidth="1"/>
    <col min="6" max="7" width="10.83203125" style="1"/>
    <col min="8" max="8" width="19.33203125" style="1" bestFit="1" customWidth="1"/>
    <col min="9" max="16384" width="10.83203125" style="1"/>
  </cols>
  <sheetData>
    <row r="2" spans="1:24" ht="17" thickBot="1" x14ac:dyDescent="0.25"/>
    <row r="3" spans="1:24" x14ac:dyDescent="0.2">
      <c r="X3" s="21" t="s">
        <v>111</v>
      </c>
    </row>
    <row r="4" spans="1:24" ht="17" thickBot="1" x14ac:dyDescent="0.25">
      <c r="R4" s="1" t="s">
        <v>109</v>
      </c>
      <c r="U4" s="1" t="s">
        <v>110</v>
      </c>
      <c r="X4" s="22">
        <f>CORREL(S7:S256,V7:V256)</f>
        <v>0.56456432425860392</v>
      </c>
    </row>
    <row r="5" spans="1:24" x14ac:dyDescent="0.2">
      <c r="A5" s="1" t="s">
        <v>124</v>
      </c>
    </row>
    <row r="6" spans="1:24" x14ac:dyDescent="0.2">
      <c r="R6" s="1" t="s">
        <v>8</v>
      </c>
      <c r="S6" s="1" t="s">
        <v>30</v>
      </c>
      <c r="U6" s="1" t="s">
        <v>8</v>
      </c>
      <c r="V6" s="1" t="s">
        <v>9</v>
      </c>
    </row>
    <row r="7" spans="1:24" x14ac:dyDescent="0.2">
      <c r="R7" s="5">
        <v>45996</v>
      </c>
      <c r="S7" s="1">
        <v>155.15</v>
      </c>
      <c r="U7" s="5">
        <v>45996</v>
      </c>
      <c r="V7" s="1">
        <v>181.71</v>
      </c>
    </row>
    <row r="8" spans="1:24" x14ac:dyDescent="0.2">
      <c r="R8" s="5">
        <v>45995</v>
      </c>
      <c r="S8" s="1">
        <v>153.51</v>
      </c>
      <c r="U8" s="5">
        <v>45995</v>
      </c>
      <c r="V8" s="1">
        <v>180.34</v>
      </c>
    </row>
    <row r="9" spans="1:24" x14ac:dyDescent="0.2">
      <c r="R9" s="5">
        <v>45994</v>
      </c>
      <c r="S9" s="1">
        <v>150.94999999999999</v>
      </c>
      <c r="U9" s="5">
        <v>45994</v>
      </c>
      <c r="V9" s="1">
        <v>176.13</v>
      </c>
    </row>
    <row r="10" spans="1:24" x14ac:dyDescent="0.2">
      <c r="R10" s="5">
        <v>45993</v>
      </c>
      <c r="S10" s="1">
        <v>141.18</v>
      </c>
      <c r="U10" s="5">
        <v>45993</v>
      </c>
      <c r="V10" s="1">
        <v>172.68</v>
      </c>
    </row>
    <row r="11" spans="1:24" x14ac:dyDescent="0.2">
      <c r="B11" s="1" t="s">
        <v>113</v>
      </c>
      <c r="C11" s="1" t="s">
        <v>5</v>
      </c>
      <c r="D11" s="27" t="s">
        <v>114</v>
      </c>
      <c r="E11" s="1" t="s">
        <v>115</v>
      </c>
      <c r="R11" s="5">
        <v>45992</v>
      </c>
      <c r="S11" s="1">
        <v>139.38999999999999</v>
      </c>
      <c r="U11" s="5">
        <v>45992</v>
      </c>
      <c r="V11" s="1">
        <v>174.2</v>
      </c>
    </row>
    <row r="12" spans="1:24" x14ac:dyDescent="0.2">
      <c r="A12" s="1" t="s">
        <v>24</v>
      </c>
      <c r="B12" s="20">
        <v>-0.13863016544245896</v>
      </c>
      <c r="C12" s="20">
        <v>0.39642786722330753</v>
      </c>
      <c r="D12" s="28">
        <v>1.0041348485087146E-2</v>
      </c>
      <c r="E12" s="24">
        <f>D12+D13</f>
        <v>1</v>
      </c>
      <c r="R12" s="5">
        <v>45989</v>
      </c>
      <c r="S12" s="1">
        <v>135.02000000000001</v>
      </c>
      <c r="U12" s="5">
        <v>45989</v>
      </c>
      <c r="V12" s="1">
        <v>174.48</v>
      </c>
    </row>
    <row r="13" spans="1:24" x14ac:dyDescent="0.2">
      <c r="A13" s="1" t="s">
        <v>25</v>
      </c>
      <c r="B13" s="20">
        <v>4.1697114694768382E-2</v>
      </c>
      <c r="C13" s="20">
        <v>0.22851461619389279</v>
      </c>
      <c r="D13" s="28">
        <v>0.9899586515149128</v>
      </c>
      <c r="R13" s="5">
        <v>45987</v>
      </c>
      <c r="S13" s="1">
        <v>134.63999999999999</v>
      </c>
      <c r="U13" s="5">
        <v>45987</v>
      </c>
      <c r="V13" s="1">
        <v>173.92</v>
      </c>
    </row>
    <row r="14" spans="1:24" x14ac:dyDescent="0.2">
      <c r="A14" s="1" t="s">
        <v>111</v>
      </c>
      <c r="B14" s="25">
        <f>X4</f>
        <v>0.56456432425860392</v>
      </c>
      <c r="R14" s="5">
        <v>45986</v>
      </c>
      <c r="S14" s="1">
        <v>134.06</v>
      </c>
      <c r="U14" s="5">
        <v>45986</v>
      </c>
      <c r="V14" s="1">
        <v>173.62</v>
      </c>
    </row>
    <row r="15" spans="1:24" x14ac:dyDescent="0.2">
      <c r="A15" s="1" t="s">
        <v>112</v>
      </c>
      <c r="B15" s="20">
        <v>4.1399999999999999E-2</v>
      </c>
      <c r="R15" s="5">
        <v>45985</v>
      </c>
      <c r="S15" s="1">
        <v>132.07</v>
      </c>
      <c r="U15" s="5">
        <v>45985</v>
      </c>
      <c r="V15" s="1">
        <v>170.58</v>
      </c>
    </row>
    <row r="16" spans="1:24" x14ac:dyDescent="0.2">
      <c r="R16" s="5">
        <v>45982</v>
      </c>
      <c r="S16" s="1">
        <v>134.01</v>
      </c>
      <c r="U16" s="5">
        <v>45982</v>
      </c>
      <c r="V16" s="1">
        <v>170.8</v>
      </c>
    </row>
    <row r="17" spans="1:22" x14ac:dyDescent="0.2">
      <c r="A17" s="27" t="s">
        <v>120</v>
      </c>
      <c r="B17" s="28">
        <v>0.08</v>
      </c>
      <c r="R17" s="5">
        <v>45981</v>
      </c>
      <c r="S17" s="1">
        <v>126.04</v>
      </c>
      <c r="U17" s="5">
        <v>45981</v>
      </c>
      <c r="V17" s="1">
        <v>167.77</v>
      </c>
    </row>
    <row r="18" spans="1:22" x14ac:dyDescent="0.2">
      <c r="E18" s="1" t="s">
        <v>24</v>
      </c>
      <c r="F18" s="1" t="s">
        <v>25</v>
      </c>
      <c r="G18" s="1" t="s">
        <v>122</v>
      </c>
      <c r="H18" s="1" t="s">
        <v>123</v>
      </c>
      <c r="R18" s="5">
        <v>45980</v>
      </c>
      <c r="S18" s="1">
        <v>127.26</v>
      </c>
      <c r="U18" s="5">
        <v>45980</v>
      </c>
      <c r="V18" s="1">
        <v>165.8</v>
      </c>
    </row>
    <row r="19" spans="1:22" x14ac:dyDescent="0.2">
      <c r="A19" s="1" t="s">
        <v>116</v>
      </c>
      <c r="B19" s="23">
        <f>B12*C12+B13*C13</f>
        <v>-4.5428460658300557E-2</v>
      </c>
      <c r="E19" s="24">
        <v>-3</v>
      </c>
      <c r="F19" s="24">
        <f t="shared" ref="F19:F38" si="0">1-E19</f>
        <v>4</v>
      </c>
      <c r="G19" s="1">
        <f>SQRT(E19^2*$C$12^2+F19^2*$C$13^2+2*E19*F19*$C$12*$C$13*$B$14)</f>
        <v>1.0111632542209696</v>
      </c>
      <c r="H19" s="30">
        <f>E19*$B$12+F19*$B$13</f>
        <v>0.5826789551064504</v>
      </c>
      <c r="R19" s="5">
        <v>45979</v>
      </c>
      <c r="S19" s="1">
        <v>130.4</v>
      </c>
      <c r="U19" s="5">
        <v>45979</v>
      </c>
      <c r="V19" s="1">
        <v>163.94</v>
      </c>
    </row>
    <row r="20" spans="1:22" x14ac:dyDescent="0.2">
      <c r="A20" s="1" t="s">
        <v>117</v>
      </c>
      <c r="B20" s="19">
        <f>SQRT(D12^2*C12^2+D13^2*C13^2+2*D12*D13*B14*C12*C13)</f>
        <v>0.22849098976232607</v>
      </c>
      <c r="E20" s="24">
        <v>-2</v>
      </c>
      <c r="F20" s="24">
        <f t="shared" si="0"/>
        <v>3</v>
      </c>
      <c r="G20" s="1">
        <f t="shared" ref="G20:G38" si="1">SQRT(E20^2*$C$12^2+F20^2*$C$13^2+2*E20*F20*$C$12*$C$13*$B$14)</f>
        <v>0.69632389460796373</v>
      </c>
      <c r="H20" s="30">
        <f t="shared" ref="H20:H38" si="2">E20*$B$12+F20*$B$13</f>
        <v>0.40235167496922308</v>
      </c>
      <c r="R20" s="5">
        <v>45978</v>
      </c>
      <c r="S20" s="1">
        <v>129.63</v>
      </c>
      <c r="U20" s="5">
        <v>45978</v>
      </c>
      <c r="V20" s="1">
        <v>163.63999999999999</v>
      </c>
    </row>
    <row r="21" spans="1:22" x14ac:dyDescent="0.2">
      <c r="A21" s="1" t="s">
        <v>118</v>
      </c>
      <c r="B21" s="26">
        <f>(B19-B15)/B20</f>
        <v>-0.38000824780276282</v>
      </c>
      <c r="E21" s="24">
        <v>-1</v>
      </c>
      <c r="F21" s="24">
        <f t="shared" si="0"/>
        <v>2</v>
      </c>
      <c r="G21" s="1">
        <f t="shared" si="1"/>
        <v>0.40181616930030278</v>
      </c>
      <c r="H21" s="30">
        <f t="shared" si="2"/>
        <v>0.22202439483199571</v>
      </c>
      <c r="R21" s="5">
        <v>45975</v>
      </c>
      <c r="S21" s="1">
        <v>132.03</v>
      </c>
      <c r="U21" s="5">
        <v>45975</v>
      </c>
      <c r="V21" s="1">
        <v>164.02</v>
      </c>
    </row>
    <row r="22" spans="1:22" x14ac:dyDescent="0.2">
      <c r="E22" s="24">
        <v>-0.8</v>
      </c>
      <c r="F22" s="24">
        <f t="shared" si="0"/>
        <v>1.8</v>
      </c>
      <c r="G22" s="1">
        <f t="shared" si="1"/>
        <v>0.34996413935755144</v>
      </c>
      <c r="H22" s="30">
        <f t="shared" si="2"/>
        <v>0.18595893880455028</v>
      </c>
      <c r="R22" s="5">
        <v>45974</v>
      </c>
      <c r="S22" s="1">
        <v>135.18</v>
      </c>
      <c r="U22" s="5">
        <v>45974</v>
      </c>
      <c r="V22" s="1">
        <v>165.27</v>
      </c>
    </row>
    <row r="23" spans="1:22" x14ac:dyDescent="0.2">
      <c r="A23" s="1" t="s">
        <v>119</v>
      </c>
      <c r="B23" s="23">
        <f>(B17-B15)/(B19-B15)</f>
        <v>-0.44455469678201598</v>
      </c>
      <c r="E23" s="24">
        <v>-0.6</v>
      </c>
      <c r="F23" s="24">
        <f t="shared" si="0"/>
        <v>1.6</v>
      </c>
      <c r="G23" s="1">
        <f t="shared" si="1"/>
        <v>0.30341473413321568</v>
      </c>
      <c r="H23" s="30">
        <f t="shared" si="2"/>
        <v>0.14989348277710479</v>
      </c>
      <c r="R23" s="5">
        <v>45973</v>
      </c>
      <c r="S23" s="1">
        <v>138.58000000000001</v>
      </c>
      <c r="U23" s="5">
        <v>45973</v>
      </c>
      <c r="V23" s="1">
        <v>167.17</v>
      </c>
    </row>
    <row r="24" spans="1:22" x14ac:dyDescent="0.2">
      <c r="A24" s="1" t="s">
        <v>119</v>
      </c>
      <c r="B24" s="23">
        <f>1-B23</f>
        <v>1.444554696782016</v>
      </c>
      <c r="E24" s="24">
        <v>-0.4</v>
      </c>
      <c r="F24" s="24">
        <f t="shared" si="0"/>
        <v>1.4</v>
      </c>
      <c r="G24" s="1">
        <f t="shared" si="1"/>
        <v>0.26497743313298294</v>
      </c>
      <c r="H24" s="30">
        <f t="shared" si="2"/>
        <v>0.11382802674965932</v>
      </c>
      <c r="R24" s="5">
        <v>45972</v>
      </c>
      <c r="S24" s="1">
        <v>139.22999999999999</v>
      </c>
      <c r="U24" s="5">
        <v>45972</v>
      </c>
      <c r="V24" s="1">
        <v>165.73</v>
      </c>
    </row>
    <row r="25" spans="1:22" x14ac:dyDescent="0.2">
      <c r="A25" s="27" t="s">
        <v>121</v>
      </c>
      <c r="B25" s="28">
        <f>B23*B19+B24*B20</f>
        <v>0.35026316798676421</v>
      </c>
      <c r="E25" s="24">
        <v>-0.2</v>
      </c>
      <c r="F25" s="24">
        <f t="shared" si="0"/>
        <v>1.2</v>
      </c>
      <c r="G25" s="1">
        <f t="shared" si="1"/>
        <v>0.23860535697698654</v>
      </c>
      <c r="H25" s="30">
        <f t="shared" si="2"/>
        <v>7.7762570722213847E-2</v>
      </c>
      <c r="R25" s="5">
        <v>45971</v>
      </c>
      <c r="S25" s="1">
        <v>137.49</v>
      </c>
      <c r="U25" s="5">
        <v>45971</v>
      </c>
      <c r="V25" s="1">
        <v>162.61000000000001</v>
      </c>
    </row>
    <row r="26" spans="1:22" x14ac:dyDescent="0.2">
      <c r="E26" s="24">
        <v>0</v>
      </c>
      <c r="F26" s="24">
        <f t="shared" si="0"/>
        <v>1</v>
      </c>
      <c r="G26" s="1">
        <f t="shared" si="1"/>
        <v>0.22851461619389279</v>
      </c>
      <c r="H26" s="30">
        <f t="shared" si="2"/>
        <v>4.1697114694768382E-2</v>
      </c>
      <c r="R26" s="5">
        <v>45968</v>
      </c>
      <c r="S26" s="1">
        <v>139.62</v>
      </c>
      <c r="U26" s="5">
        <v>45968</v>
      </c>
      <c r="V26" s="1">
        <v>160.80000000000001</v>
      </c>
    </row>
    <row r="27" spans="1:22" x14ac:dyDescent="0.2">
      <c r="E27" s="24">
        <v>0.1</v>
      </c>
      <c r="F27" s="24">
        <f t="shared" si="0"/>
        <v>0.9</v>
      </c>
      <c r="G27" s="1">
        <f t="shared" si="1"/>
        <v>0.23037955194681276</v>
      </c>
      <c r="H27" s="30">
        <f t="shared" si="2"/>
        <v>2.3664386681045646E-2</v>
      </c>
      <c r="R27" s="5">
        <v>45967</v>
      </c>
      <c r="S27" s="1">
        <v>137.41999999999999</v>
      </c>
      <c r="U27" s="5">
        <v>45967</v>
      </c>
      <c r="V27" s="1">
        <v>163.08000000000001</v>
      </c>
    </row>
    <row r="28" spans="1:22" x14ac:dyDescent="0.2">
      <c r="E28" s="24">
        <v>0.2</v>
      </c>
      <c r="F28" s="24">
        <f t="shared" si="0"/>
        <v>0.8</v>
      </c>
      <c r="G28" s="1">
        <f t="shared" si="1"/>
        <v>0.23679586224874227</v>
      </c>
      <c r="H28" s="30">
        <f t="shared" si="2"/>
        <v>5.6316586673229099E-3</v>
      </c>
      <c r="R28" s="5">
        <v>45966</v>
      </c>
      <c r="S28" s="1">
        <v>140.5</v>
      </c>
      <c r="U28" s="5">
        <v>45966</v>
      </c>
      <c r="V28" s="1">
        <v>159.83000000000001</v>
      </c>
    </row>
    <row r="29" spans="1:22" x14ac:dyDescent="0.2">
      <c r="E29" s="24">
        <v>0.3</v>
      </c>
      <c r="F29" s="24">
        <f t="shared" si="0"/>
        <v>0.7</v>
      </c>
      <c r="G29" s="1">
        <f t="shared" si="1"/>
        <v>0.24740969480393343</v>
      </c>
      <c r="H29" s="30">
        <f t="shared" si="2"/>
        <v>-1.2401069346399819E-2</v>
      </c>
      <c r="R29" s="5">
        <v>45965</v>
      </c>
      <c r="S29" s="1">
        <v>141.08000000000001</v>
      </c>
      <c r="U29" s="5">
        <v>45965</v>
      </c>
      <c r="V29" s="1">
        <v>152.41999999999999</v>
      </c>
    </row>
    <row r="30" spans="1:22" x14ac:dyDescent="0.2">
      <c r="E30" s="24">
        <v>0.4</v>
      </c>
      <c r="F30" s="24">
        <f t="shared" si="0"/>
        <v>0.6</v>
      </c>
      <c r="G30" s="1">
        <f t="shared" si="1"/>
        <v>0.26171084820802659</v>
      </c>
      <c r="H30" s="30">
        <f t="shared" si="2"/>
        <v>-3.0433797360122559E-2</v>
      </c>
      <c r="R30" s="5">
        <v>45964</v>
      </c>
      <c r="S30" s="1">
        <v>137.24</v>
      </c>
      <c r="U30" s="5">
        <v>45964</v>
      </c>
      <c r="V30" s="1">
        <v>150.63</v>
      </c>
    </row>
    <row r="31" spans="1:22" x14ac:dyDescent="0.2">
      <c r="E31" s="24">
        <v>0.5</v>
      </c>
      <c r="F31" s="24">
        <f t="shared" si="0"/>
        <v>0.5</v>
      </c>
      <c r="G31" s="1">
        <f t="shared" si="1"/>
        <v>0.27913314625549762</v>
      </c>
      <c r="H31" s="30">
        <f t="shared" si="2"/>
        <v>-4.8466525373845284E-2</v>
      </c>
      <c r="R31" s="5">
        <v>45961</v>
      </c>
      <c r="S31" s="1">
        <v>140.13999999999999</v>
      </c>
      <c r="U31" s="5">
        <v>45961</v>
      </c>
      <c r="V31" s="1">
        <v>148.94</v>
      </c>
    </row>
    <row r="32" spans="1:22" x14ac:dyDescent="0.2">
      <c r="E32" s="24">
        <v>0.6</v>
      </c>
      <c r="F32" s="24">
        <f t="shared" si="0"/>
        <v>0.4</v>
      </c>
      <c r="G32" s="1">
        <f t="shared" si="1"/>
        <v>0.29913173166543255</v>
      </c>
      <c r="H32" s="30">
        <f t="shared" si="2"/>
        <v>-6.6499253387568014E-2</v>
      </c>
      <c r="R32" s="5">
        <v>45960</v>
      </c>
      <c r="S32" s="1">
        <v>136.97999999999999</v>
      </c>
      <c r="U32" s="5">
        <v>45960</v>
      </c>
      <c r="V32" s="1">
        <v>149.88</v>
      </c>
    </row>
    <row r="33" spans="5:22" x14ac:dyDescent="0.2">
      <c r="E33" s="24">
        <v>0.7</v>
      </c>
      <c r="F33" s="24">
        <f t="shared" si="0"/>
        <v>0.30000000000000004</v>
      </c>
      <c r="G33" s="1">
        <f t="shared" si="1"/>
        <v>0.32122578775958627</v>
      </c>
      <c r="H33" s="30">
        <f t="shared" si="2"/>
        <v>-8.4531981401290743E-2</v>
      </c>
      <c r="R33" s="5">
        <v>45959</v>
      </c>
      <c r="S33" s="1">
        <v>135.86000000000001</v>
      </c>
      <c r="U33" s="5">
        <v>45959</v>
      </c>
      <c r="V33" s="1">
        <v>149.88999999999999</v>
      </c>
    </row>
    <row r="34" spans="5:22" x14ac:dyDescent="0.2">
      <c r="E34" s="24">
        <v>0.8</v>
      </c>
      <c r="F34" s="24">
        <f t="shared" si="0"/>
        <v>0.19999999999999996</v>
      </c>
      <c r="G34" s="1">
        <f t="shared" si="1"/>
        <v>0.34501297777955003</v>
      </c>
      <c r="H34" s="30">
        <f t="shared" si="2"/>
        <v>-0.1025647094150135</v>
      </c>
      <c r="R34" s="5">
        <v>45958</v>
      </c>
      <c r="S34" s="1">
        <v>135.82</v>
      </c>
      <c r="U34" s="5">
        <v>45958</v>
      </c>
      <c r="V34" s="1">
        <v>154.30000000000001</v>
      </c>
    </row>
    <row r="35" spans="5:22" x14ac:dyDescent="0.2">
      <c r="E35" s="24">
        <v>0.9</v>
      </c>
      <c r="F35" s="24">
        <f t="shared" si="0"/>
        <v>9.9999999999999978E-2</v>
      </c>
      <c r="G35" s="1">
        <f t="shared" si="1"/>
        <v>0.3701670396358876</v>
      </c>
      <c r="H35" s="30">
        <f t="shared" si="2"/>
        <v>-0.12059743742873623</v>
      </c>
      <c r="R35" s="5">
        <v>45957</v>
      </c>
      <c r="S35" s="1">
        <v>136.46</v>
      </c>
      <c r="U35" s="5">
        <v>45957</v>
      </c>
      <c r="V35" s="1">
        <v>156.30000000000001</v>
      </c>
    </row>
    <row r="36" spans="5:22" x14ac:dyDescent="0.2">
      <c r="E36" s="24">
        <v>1</v>
      </c>
      <c r="F36" s="24">
        <f t="shared" si="0"/>
        <v>0</v>
      </c>
      <c r="G36" s="1">
        <f t="shared" si="1"/>
        <v>0.39642786722330753</v>
      </c>
      <c r="H36" s="30">
        <f t="shared" si="2"/>
        <v>-0.13863016544245896</v>
      </c>
      <c r="R36" s="5">
        <v>45954</v>
      </c>
      <c r="S36" s="1">
        <v>135.85</v>
      </c>
      <c r="U36" s="5">
        <v>45954</v>
      </c>
      <c r="V36" s="1">
        <v>155.83000000000001</v>
      </c>
    </row>
    <row r="37" spans="5:22" x14ac:dyDescent="0.2">
      <c r="E37" s="24">
        <v>2</v>
      </c>
      <c r="F37" s="24">
        <f t="shared" si="0"/>
        <v>-1</v>
      </c>
      <c r="G37" s="1">
        <f t="shared" si="1"/>
        <v>0.69011926954846303</v>
      </c>
      <c r="H37" s="30">
        <f t="shared" si="2"/>
        <v>-0.31895744557968631</v>
      </c>
      <c r="R37" s="5">
        <v>45953</v>
      </c>
      <c r="S37" s="1">
        <v>135.59</v>
      </c>
      <c r="U37" s="5">
        <v>45953</v>
      </c>
      <c r="V37" s="1">
        <v>155.72</v>
      </c>
    </row>
    <row r="38" spans="5:22" x14ac:dyDescent="0.2">
      <c r="E38" s="24">
        <v>3</v>
      </c>
      <c r="F38" s="24">
        <f t="shared" si="0"/>
        <v>-2</v>
      </c>
      <c r="G38" s="1">
        <f t="shared" si="1"/>
        <v>1.004762452864802</v>
      </c>
      <c r="H38" s="30">
        <f t="shared" si="2"/>
        <v>-0.49928472571691362</v>
      </c>
      <c r="R38" s="5">
        <v>45952</v>
      </c>
      <c r="S38" s="1">
        <v>140.74</v>
      </c>
      <c r="U38" s="5">
        <v>45952</v>
      </c>
      <c r="V38" s="1">
        <v>157</v>
      </c>
    </row>
    <row r="39" spans="5:22" x14ac:dyDescent="0.2">
      <c r="R39" s="5">
        <v>45951</v>
      </c>
      <c r="S39" s="1">
        <v>144.07</v>
      </c>
      <c r="U39" s="5">
        <v>45951</v>
      </c>
      <c r="V39" s="1">
        <v>156.91999999999999</v>
      </c>
    </row>
    <row r="40" spans="5:22" x14ac:dyDescent="0.2">
      <c r="R40" s="5">
        <v>45950</v>
      </c>
      <c r="S40" s="1">
        <v>140.43</v>
      </c>
      <c r="U40" s="5">
        <v>45950</v>
      </c>
      <c r="V40" s="1">
        <v>155.07</v>
      </c>
    </row>
    <row r="41" spans="5:22" x14ac:dyDescent="0.2">
      <c r="R41" s="5">
        <v>45947</v>
      </c>
      <c r="S41" s="1">
        <v>137.77000000000001</v>
      </c>
      <c r="U41" s="5">
        <v>45947</v>
      </c>
      <c r="V41" s="1">
        <v>152.93</v>
      </c>
    </row>
    <row r="42" spans="5:22" x14ac:dyDescent="0.2">
      <c r="R42" s="5">
        <v>45946</v>
      </c>
      <c r="S42" s="1">
        <v>137.83000000000001</v>
      </c>
      <c r="U42" s="5">
        <v>45946</v>
      </c>
      <c r="V42" s="1">
        <v>152.94</v>
      </c>
    </row>
    <row r="43" spans="5:22" x14ac:dyDescent="0.2">
      <c r="R43" s="5">
        <v>45945</v>
      </c>
      <c r="S43" s="1">
        <v>134.77000000000001</v>
      </c>
      <c r="U43" s="5">
        <v>45945</v>
      </c>
      <c r="V43" s="1">
        <v>154.46</v>
      </c>
    </row>
    <row r="44" spans="5:22" x14ac:dyDescent="0.2">
      <c r="R44" s="5">
        <v>45944</v>
      </c>
      <c r="S44" s="1">
        <v>135.16</v>
      </c>
      <c r="U44" s="5">
        <v>45944</v>
      </c>
      <c r="V44" s="1">
        <v>154.12</v>
      </c>
    </row>
    <row r="45" spans="5:22" x14ac:dyDescent="0.2">
      <c r="R45" s="5">
        <v>45943</v>
      </c>
      <c r="S45" s="1">
        <v>135.91</v>
      </c>
      <c r="U45" s="5">
        <v>45943</v>
      </c>
      <c r="V45" s="1">
        <v>152.19</v>
      </c>
    </row>
    <row r="46" spans="5:22" x14ac:dyDescent="0.2">
      <c r="R46" s="5">
        <v>45940</v>
      </c>
      <c r="S46" s="1">
        <v>134.04</v>
      </c>
      <c r="U46" s="5">
        <v>45940</v>
      </c>
      <c r="V46" s="1">
        <v>151.54</v>
      </c>
    </row>
    <row r="47" spans="5:22" x14ac:dyDescent="0.2">
      <c r="R47" s="5">
        <v>45939</v>
      </c>
      <c r="S47" s="1">
        <v>141</v>
      </c>
      <c r="U47" s="5">
        <v>45939</v>
      </c>
      <c r="V47" s="1">
        <v>149.32</v>
      </c>
    </row>
    <row r="48" spans="5:22" x14ac:dyDescent="0.2">
      <c r="R48" s="5">
        <v>45938</v>
      </c>
      <c r="S48" s="1">
        <v>144.49</v>
      </c>
      <c r="U48" s="5">
        <v>45938</v>
      </c>
      <c r="V48" s="1">
        <v>149.43</v>
      </c>
    </row>
    <row r="49" spans="18:22" x14ac:dyDescent="0.2">
      <c r="R49" s="5">
        <v>45937</v>
      </c>
      <c r="S49" s="1">
        <v>141.08000000000001</v>
      </c>
      <c r="U49" s="5">
        <v>45937</v>
      </c>
      <c r="V49" s="1">
        <v>149.63999999999999</v>
      </c>
    </row>
    <row r="50" spans="18:22" x14ac:dyDescent="0.2">
      <c r="R50" s="5">
        <v>45936</v>
      </c>
      <c r="S50" s="1">
        <v>142.54</v>
      </c>
      <c r="U50" s="5">
        <v>45936</v>
      </c>
      <c r="V50" s="1">
        <v>147.69</v>
      </c>
    </row>
    <row r="51" spans="18:22" x14ac:dyDescent="0.2">
      <c r="R51" s="5">
        <v>45933</v>
      </c>
      <c r="S51" s="1">
        <v>141.05000000000001</v>
      </c>
      <c r="U51" s="5">
        <v>45933</v>
      </c>
      <c r="V51" s="1">
        <v>146.26</v>
      </c>
    </row>
    <row r="52" spans="18:22" x14ac:dyDescent="0.2">
      <c r="R52" s="5">
        <v>45932</v>
      </c>
      <c r="S52" s="1">
        <v>140.32</v>
      </c>
      <c r="U52" s="5">
        <v>45932</v>
      </c>
      <c r="V52" s="1">
        <v>146.31</v>
      </c>
    </row>
    <row r="53" spans="18:22" x14ac:dyDescent="0.2">
      <c r="R53" s="5">
        <v>45931</v>
      </c>
      <c r="S53" s="1">
        <v>138.96</v>
      </c>
      <c r="U53" s="5">
        <v>45931</v>
      </c>
      <c r="V53" s="1">
        <v>146.29</v>
      </c>
    </row>
    <row r="54" spans="18:22" x14ac:dyDescent="0.2">
      <c r="R54" s="5">
        <v>45930</v>
      </c>
      <c r="S54" s="1">
        <v>140.5</v>
      </c>
      <c r="U54" s="5">
        <v>45930</v>
      </c>
      <c r="V54" s="1">
        <v>148.93</v>
      </c>
    </row>
    <row r="55" spans="18:22" x14ac:dyDescent="0.2">
      <c r="R55" s="5">
        <v>45929</v>
      </c>
      <c r="S55" s="1">
        <v>140.76</v>
      </c>
      <c r="U55" s="5">
        <v>45929</v>
      </c>
      <c r="V55" s="1">
        <v>151.16999999999999</v>
      </c>
    </row>
    <row r="56" spans="18:22" x14ac:dyDescent="0.2">
      <c r="R56" s="5">
        <v>45926</v>
      </c>
      <c r="S56" s="1">
        <v>138.32</v>
      </c>
      <c r="U56" s="5">
        <v>45926</v>
      </c>
      <c r="V56" s="1">
        <v>149.38</v>
      </c>
    </row>
    <row r="57" spans="18:22" x14ac:dyDescent="0.2">
      <c r="R57" s="5">
        <v>45925</v>
      </c>
      <c r="S57" s="1">
        <v>140.15</v>
      </c>
      <c r="U57" s="5">
        <v>45925</v>
      </c>
      <c r="V57" s="1">
        <v>148.44999999999999</v>
      </c>
    </row>
    <row r="58" spans="18:22" x14ac:dyDescent="0.2">
      <c r="R58" s="5">
        <v>45924</v>
      </c>
      <c r="S58" s="1">
        <v>140.78</v>
      </c>
      <c r="U58" s="5">
        <v>45924</v>
      </c>
      <c r="V58" s="1">
        <v>151.5</v>
      </c>
    </row>
    <row r="59" spans="18:22" x14ac:dyDescent="0.2">
      <c r="R59" s="5">
        <v>45923</v>
      </c>
      <c r="S59" s="1">
        <v>139.06</v>
      </c>
      <c r="U59" s="5">
        <v>45923</v>
      </c>
      <c r="V59" s="1">
        <v>150.02000000000001</v>
      </c>
    </row>
    <row r="60" spans="18:22" x14ac:dyDescent="0.2">
      <c r="R60" s="5">
        <v>45922</v>
      </c>
      <c r="S60" s="1">
        <v>138.65</v>
      </c>
      <c r="U60" s="5">
        <v>45922</v>
      </c>
      <c r="V60" s="1">
        <v>151.44999999999999</v>
      </c>
    </row>
    <row r="61" spans="18:22" x14ac:dyDescent="0.2">
      <c r="R61" s="5">
        <v>45919</v>
      </c>
      <c r="S61" s="1">
        <v>140.56</v>
      </c>
      <c r="U61" s="5">
        <v>45919</v>
      </c>
      <c r="V61" s="1">
        <v>151.97</v>
      </c>
    </row>
    <row r="62" spans="18:22" x14ac:dyDescent="0.2">
      <c r="R62" s="5">
        <v>45918</v>
      </c>
      <c r="S62" s="1">
        <v>142.11000000000001</v>
      </c>
      <c r="U62" s="5">
        <v>45918</v>
      </c>
      <c r="V62" s="1">
        <v>154.47</v>
      </c>
    </row>
    <row r="63" spans="18:22" x14ac:dyDescent="0.2">
      <c r="R63" s="5">
        <v>45917</v>
      </c>
      <c r="S63" s="1">
        <v>141.51</v>
      </c>
      <c r="U63" s="5">
        <v>45917</v>
      </c>
      <c r="V63" s="1">
        <v>159.78</v>
      </c>
    </row>
    <row r="64" spans="18:22" x14ac:dyDescent="0.2">
      <c r="R64" s="5">
        <v>45916</v>
      </c>
      <c r="S64" s="1">
        <v>146.72999999999999</v>
      </c>
      <c r="U64" s="5">
        <v>45916</v>
      </c>
      <c r="V64" s="1">
        <v>159.07</v>
      </c>
    </row>
    <row r="65" spans="18:22" x14ac:dyDescent="0.2">
      <c r="R65" s="5">
        <v>45915</v>
      </c>
      <c r="S65" s="1">
        <v>144.96</v>
      </c>
      <c r="U65" s="5">
        <v>45915</v>
      </c>
      <c r="V65" s="1">
        <v>158.43</v>
      </c>
    </row>
    <row r="66" spans="18:22" x14ac:dyDescent="0.2">
      <c r="R66" s="5">
        <v>45912</v>
      </c>
      <c r="S66" s="1">
        <v>144.6</v>
      </c>
      <c r="U66" s="5">
        <v>45912</v>
      </c>
      <c r="V66" s="1">
        <v>160.12</v>
      </c>
    </row>
    <row r="67" spans="18:22" x14ac:dyDescent="0.2">
      <c r="R67" s="5">
        <v>45911</v>
      </c>
      <c r="S67" s="1">
        <v>149.1</v>
      </c>
      <c r="U67" s="5">
        <v>45911</v>
      </c>
      <c r="V67" s="1">
        <v>161.41999999999999</v>
      </c>
    </row>
    <row r="68" spans="18:22" x14ac:dyDescent="0.2">
      <c r="R68" s="5">
        <v>45910</v>
      </c>
      <c r="S68" s="1">
        <v>146.02000000000001</v>
      </c>
      <c r="U68" s="5">
        <v>45910</v>
      </c>
      <c r="V68" s="1">
        <v>159.1</v>
      </c>
    </row>
    <row r="69" spans="18:22" x14ac:dyDescent="0.2">
      <c r="R69" s="5">
        <v>45909</v>
      </c>
      <c r="S69" s="1">
        <v>147.93</v>
      </c>
      <c r="U69" s="5">
        <v>45909</v>
      </c>
      <c r="V69" s="1">
        <v>162.75</v>
      </c>
    </row>
    <row r="70" spans="18:22" x14ac:dyDescent="0.2">
      <c r="R70" s="5">
        <v>45908</v>
      </c>
      <c r="S70" s="1">
        <v>150.81</v>
      </c>
      <c r="U70" s="5">
        <v>45908</v>
      </c>
      <c r="V70" s="1">
        <v>162.53</v>
      </c>
    </row>
    <row r="71" spans="18:22" x14ac:dyDescent="0.2">
      <c r="R71" s="5">
        <v>45905</v>
      </c>
      <c r="S71" s="1">
        <v>150.41</v>
      </c>
      <c r="U71" s="5">
        <v>45905</v>
      </c>
      <c r="V71" s="1">
        <v>162.24</v>
      </c>
    </row>
    <row r="72" spans="18:22" x14ac:dyDescent="0.2">
      <c r="R72" s="5">
        <v>45904</v>
      </c>
      <c r="S72" s="1">
        <v>148.52000000000001</v>
      </c>
      <c r="U72" s="5">
        <v>45904</v>
      </c>
      <c r="V72" s="1">
        <v>161.87</v>
      </c>
    </row>
    <row r="73" spans="18:22" x14ac:dyDescent="0.2">
      <c r="R73" s="5">
        <v>45903</v>
      </c>
      <c r="S73" s="1">
        <v>147.82</v>
      </c>
      <c r="U73" s="5">
        <v>45903</v>
      </c>
      <c r="V73" s="1">
        <v>161.59</v>
      </c>
    </row>
    <row r="74" spans="18:22" x14ac:dyDescent="0.2">
      <c r="R74" s="5">
        <v>45902</v>
      </c>
      <c r="S74" s="1">
        <v>149.32</v>
      </c>
      <c r="U74" s="5">
        <v>45902</v>
      </c>
      <c r="V74" s="1">
        <v>160.77000000000001</v>
      </c>
    </row>
    <row r="75" spans="18:22" x14ac:dyDescent="0.2">
      <c r="R75" s="5">
        <v>45898</v>
      </c>
      <c r="S75" s="1">
        <v>150.38999999999999</v>
      </c>
      <c r="U75" s="5">
        <v>45898</v>
      </c>
      <c r="V75" s="1">
        <v>163.26</v>
      </c>
    </row>
    <row r="76" spans="18:22" x14ac:dyDescent="0.2">
      <c r="R76" s="5">
        <v>45897</v>
      </c>
      <c r="S76" s="1">
        <v>149.12</v>
      </c>
      <c r="U76" s="5">
        <v>45897</v>
      </c>
      <c r="V76" s="1">
        <v>162.82</v>
      </c>
    </row>
    <row r="77" spans="18:22" x14ac:dyDescent="0.2">
      <c r="R77" s="5">
        <v>45896</v>
      </c>
      <c r="S77" s="1">
        <v>153.22999999999999</v>
      </c>
      <c r="U77" s="5">
        <v>45896</v>
      </c>
      <c r="V77" s="1">
        <v>162.74</v>
      </c>
    </row>
    <row r="78" spans="18:22" x14ac:dyDescent="0.2">
      <c r="R78" s="5">
        <v>45895</v>
      </c>
      <c r="S78" s="1">
        <v>153.88999999999999</v>
      </c>
      <c r="U78" s="5">
        <v>45895</v>
      </c>
      <c r="V78" s="1">
        <v>162.08000000000001</v>
      </c>
    </row>
    <row r="79" spans="18:22" x14ac:dyDescent="0.2">
      <c r="R79" s="5">
        <v>45894</v>
      </c>
      <c r="S79" s="1">
        <v>154.87</v>
      </c>
      <c r="U79" s="5">
        <v>45894</v>
      </c>
      <c r="V79" s="1">
        <v>161.68</v>
      </c>
    </row>
    <row r="80" spans="18:22" x14ac:dyDescent="0.2">
      <c r="R80" s="5">
        <v>45891</v>
      </c>
      <c r="S80" s="1">
        <v>158.52000000000001</v>
      </c>
      <c r="U80" s="5">
        <v>45891</v>
      </c>
      <c r="V80" s="1">
        <v>165.56</v>
      </c>
    </row>
    <row r="81" spans="18:22" x14ac:dyDescent="0.2">
      <c r="R81" s="5">
        <v>45890</v>
      </c>
      <c r="S81" s="1">
        <v>149.16999999999999</v>
      </c>
      <c r="U81" s="5">
        <v>45890</v>
      </c>
      <c r="V81" s="1">
        <v>163.26</v>
      </c>
    </row>
    <row r="82" spans="18:22" x14ac:dyDescent="0.2">
      <c r="R82" s="5">
        <v>45889</v>
      </c>
      <c r="S82" s="1">
        <v>149.66</v>
      </c>
      <c r="U82" s="5">
        <v>45889</v>
      </c>
      <c r="V82" s="1">
        <v>163.80000000000001</v>
      </c>
    </row>
    <row r="83" spans="18:22" x14ac:dyDescent="0.2">
      <c r="R83" s="5">
        <v>45888</v>
      </c>
      <c r="S83" s="1">
        <v>154.21</v>
      </c>
      <c r="U83" s="5">
        <v>45888</v>
      </c>
      <c r="V83" s="1">
        <v>160.63</v>
      </c>
    </row>
    <row r="84" spans="18:22" x14ac:dyDescent="0.2">
      <c r="R84" s="5">
        <v>45887</v>
      </c>
      <c r="S84" s="1">
        <v>149.88</v>
      </c>
      <c r="U84" s="5">
        <v>45887</v>
      </c>
      <c r="V84" s="1">
        <v>160.83000000000001</v>
      </c>
    </row>
    <row r="85" spans="18:22" x14ac:dyDescent="0.2">
      <c r="R85" s="5">
        <v>45884</v>
      </c>
      <c r="S85" s="1">
        <v>150.56</v>
      </c>
      <c r="U85" s="5">
        <v>45884</v>
      </c>
      <c r="V85" s="1">
        <v>160.38999999999999</v>
      </c>
    </row>
    <row r="86" spans="18:22" x14ac:dyDescent="0.2">
      <c r="R86" s="5">
        <v>45883</v>
      </c>
      <c r="S86" s="1">
        <v>150.53</v>
      </c>
      <c r="U86" s="5">
        <v>45883</v>
      </c>
      <c r="V86" s="1">
        <v>159.25</v>
      </c>
    </row>
    <row r="87" spans="18:22" x14ac:dyDescent="0.2">
      <c r="R87" s="5">
        <v>45882</v>
      </c>
      <c r="S87" s="1">
        <v>152.87</v>
      </c>
      <c r="U87" s="5">
        <v>45882</v>
      </c>
      <c r="V87" s="1">
        <v>163.37</v>
      </c>
    </row>
    <row r="88" spans="18:22" x14ac:dyDescent="0.2">
      <c r="R88" s="5">
        <v>45881</v>
      </c>
      <c r="S88" s="1">
        <v>148.66</v>
      </c>
      <c r="U88" s="5">
        <v>45881</v>
      </c>
      <c r="V88" s="1">
        <v>159.79</v>
      </c>
    </row>
    <row r="89" spans="18:22" x14ac:dyDescent="0.2">
      <c r="R89" s="5">
        <v>45880</v>
      </c>
      <c r="S89" s="1">
        <v>142.47</v>
      </c>
      <c r="U89" s="5">
        <v>45880</v>
      </c>
      <c r="V89" s="1">
        <v>158.52000000000001</v>
      </c>
    </row>
    <row r="90" spans="18:22" x14ac:dyDescent="0.2">
      <c r="R90" s="5">
        <v>45877</v>
      </c>
      <c r="S90" s="1">
        <v>143.9</v>
      </c>
      <c r="U90" s="5">
        <v>45877</v>
      </c>
      <c r="V90" s="1">
        <v>161.56</v>
      </c>
    </row>
    <row r="91" spans="18:22" x14ac:dyDescent="0.2">
      <c r="R91" s="5">
        <v>45876</v>
      </c>
      <c r="S91" s="1">
        <v>144.77000000000001</v>
      </c>
      <c r="U91" s="5">
        <v>45876</v>
      </c>
      <c r="V91" s="1">
        <v>164.09</v>
      </c>
    </row>
    <row r="92" spans="18:22" x14ac:dyDescent="0.2">
      <c r="R92" s="5">
        <v>45875</v>
      </c>
      <c r="S92" s="1">
        <v>149.35</v>
      </c>
      <c r="U92" s="5">
        <v>45875</v>
      </c>
      <c r="V92" s="1">
        <v>166.76</v>
      </c>
    </row>
    <row r="93" spans="18:22" x14ac:dyDescent="0.2">
      <c r="R93" s="5">
        <v>45874</v>
      </c>
      <c r="S93" s="1">
        <v>146.58000000000001</v>
      </c>
      <c r="U93" s="5">
        <v>45874</v>
      </c>
      <c r="V93" s="1">
        <v>166.01</v>
      </c>
    </row>
    <row r="94" spans="18:22" x14ac:dyDescent="0.2">
      <c r="R94" s="5">
        <v>45873</v>
      </c>
      <c r="S94" s="1">
        <v>143.81</v>
      </c>
      <c r="U94" s="5">
        <v>45873</v>
      </c>
      <c r="V94" s="1">
        <v>170.48</v>
      </c>
    </row>
    <row r="95" spans="18:22" x14ac:dyDescent="0.2">
      <c r="R95" s="5">
        <v>45870</v>
      </c>
      <c r="S95" s="1">
        <v>141.30000000000001</v>
      </c>
      <c r="U95" s="5">
        <v>45870</v>
      </c>
      <c r="V95" s="1">
        <v>167.28</v>
      </c>
    </row>
    <row r="96" spans="18:22" x14ac:dyDescent="0.2">
      <c r="R96" s="5">
        <v>45869</v>
      </c>
      <c r="S96" s="1">
        <v>148.68</v>
      </c>
      <c r="U96" s="5">
        <v>45869</v>
      </c>
      <c r="V96" s="1">
        <v>169.82</v>
      </c>
    </row>
    <row r="97" spans="18:22" x14ac:dyDescent="0.2">
      <c r="R97" s="5">
        <v>45868</v>
      </c>
      <c r="S97" s="1">
        <v>145.9</v>
      </c>
      <c r="U97" s="5">
        <v>45868</v>
      </c>
      <c r="V97" s="1">
        <v>173.35</v>
      </c>
    </row>
    <row r="98" spans="18:22" x14ac:dyDescent="0.2">
      <c r="R98" s="5">
        <v>45867</v>
      </c>
      <c r="S98" s="1">
        <v>161.5</v>
      </c>
      <c r="U98" s="5">
        <v>45867</v>
      </c>
      <c r="V98" s="1">
        <v>175.44</v>
      </c>
    </row>
    <row r="99" spans="18:22" x14ac:dyDescent="0.2">
      <c r="R99" s="5">
        <v>45866</v>
      </c>
      <c r="S99" s="1">
        <v>163.69</v>
      </c>
      <c r="U99" s="5">
        <v>45866</v>
      </c>
      <c r="V99" s="1">
        <v>175.38</v>
      </c>
    </row>
    <row r="100" spans="18:22" x14ac:dyDescent="0.2">
      <c r="R100" s="5">
        <v>45863</v>
      </c>
      <c r="S100" s="1">
        <v>166.45</v>
      </c>
      <c r="U100" s="5">
        <v>45863</v>
      </c>
      <c r="V100" s="1">
        <v>176.35</v>
      </c>
    </row>
    <row r="101" spans="18:22" x14ac:dyDescent="0.2">
      <c r="R101" s="5">
        <v>45862</v>
      </c>
      <c r="S101" s="1">
        <v>167.15</v>
      </c>
      <c r="U101" s="5">
        <v>45862</v>
      </c>
      <c r="V101" s="1">
        <v>180.9</v>
      </c>
    </row>
    <row r="102" spans="18:22" x14ac:dyDescent="0.2">
      <c r="R102" s="5">
        <v>45861</v>
      </c>
      <c r="S102" s="1">
        <v>165.35</v>
      </c>
      <c r="U102" s="5">
        <v>45861</v>
      </c>
      <c r="V102" s="1">
        <v>180.53</v>
      </c>
    </row>
    <row r="103" spans="18:22" x14ac:dyDescent="0.2">
      <c r="R103" s="5">
        <v>45860</v>
      </c>
      <c r="S103" s="1">
        <v>166.25</v>
      </c>
      <c r="U103" s="5">
        <v>45860</v>
      </c>
      <c r="V103" s="1">
        <v>180.58</v>
      </c>
    </row>
    <row r="104" spans="18:22" x14ac:dyDescent="0.2">
      <c r="R104" s="5">
        <v>45859</v>
      </c>
      <c r="S104" s="1">
        <v>162.62</v>
      </c>
      <c r="U104" s="5">
        <v>45859</v>
      </c>
      <c r="V104" s="1">
        <v>176.86</v>
      </c>
    </row>
    <row r="105" spans="18:22" x14ac:dyDescent="0.2">
      <c r="R105" s="5">
        <v>45856</v>
      </c>
      <c r="S105" s="1">
        <v>161.47</v>
      </c>
      <c r="U105" s="5">
        <v>45856</v>
      </c>
      <c r="V105" s="1">
        <v>178.64</v>
      </c>
    </row>
    <row r="106" spans="18:22" x14ac:dyDescent="0.2">
      <c r="R106" s="5">
        <v>45855</v>
      </c>
      <c r="S106" s="1">
        <v>161.61000000000001</v>
      </c>
      <c r="U106" s="5">
        <v>45855</v>
      </c>
      <c r="V106" s="1">
        <v>179.09</v>
      </c>
    </row>
    <row r="107" spans="18:22" x14ac:dyDescent="0.2">
      <c r="R107" s="5">
        <v>45854</v>
      </c>
      <c r="S107" s="1">
        <v>160.21</v>
      </c>
      <c r="U107" s="5">
        <v>45854</v>
      </c>
      <c r="V107" s="1">
        <v>177.5</v>
      </c>
    </row>
    <row r="108" spans="18:22" x14ac:dyDescent="0.2">
      <c r="R108" s="5">
        <v>45853</v>
      </c>
      <c r="S108" s="1">
        <v>160.72999999999999</v>
      </c>
      <c r="U108" s="5">
        <v>45853</v>
      </c>
      <c r="V108" s="1">
        <v>175.02</v>
      </c>
    </row>
    <row r="109" spans="18:22" x14ac:dyDescent="0.2">
      <c r="R109" s="5">
        <v>45852</v>
      </c>
      <c r="S109" s="1">
        <v>165.09</v>
      </c>
      <c r="U109" s="5">
        <v>45852</v>
      </c>
      <c r="V109" s="1">
        <v>176.17</v>
      </c>
    </row>
    <row r="110" spans="18:22" x14ac:dyDescent="0.2">
      <c r="R110" s="5">
        <v>45849</v>
      </c>
      <c r="S110" s="1">
        <v>167.09</v>
      </c>
      <c r="U110" s="5">
        <v>45849</v>
      </c>
      <c r="V110" s="1">
        <v>175.19</v>
      </c>
    </row>
    <row r="111" spans="18:22" x14ac:dyDescent="0.2">
      <c r="R111" s="5">
        <v>45848</v>
      </c>
      <c r="S111" s="1">
        <v>170.46</v>
      </c>
      <c r="U111" s="5">
        <v>45848</v>
      </c>
      <c r="V111" s="1">
        <v>179.56</v>
      </c>
    </row>
    <row r="112" spans="18:22" x14ac:dyDescent="0.2">
      <c r="R112" s="5">
        <v>45847</v>
      </c>
      <c r="S112" s="1">
        <v>167.36</v>
      </c>
      <c r="U112" s="5">
        <v>45847</v>
      </c>
      <c r="V112" s="1">
        <v>179.76</v>
      </c>
    </row>
    <row r="113" spans="18:22" x14ac:dyDescent="0.2">
      <c r="R113" s="5">
        <v>45846</v>
      </c>
      <c r="S113" s="1">
        <v>166.74</v>
      </c>
      <c r="U113" s="5">
        <v>45846</v>
      </c>
      <c r="V113" s="1">
        <v>180.32</v>
      </c>
    </row>
    <row r="114" spans="18:22" x14ac:dyDescent="0.2">
      <c r="R114" s="5">
        <v>45845</v>
      </c>
      <c r="S114" s="1">
        <v>163.68</v>
      </c>
      <c r="U114" s="5">
        <v>45845</v>
      </c>
      <c r="V114" s="1">
        <v>180.52</v>
      </c>
    </row>
    <row r="115" spans="18:22" x14ac:dyDescent="0.2">
      <c r="R115" s="5">
        <v>45841</v>
      </c>
      <c r="S115" s="1">
        <v>170.37</v>
      </c>
      <c r="U115" s="5">
        <v>45841</v>
      </c>
      <c r="V115" s="1">
        <v>181.32</v>
      </c>
    </row>
    <row r="116" spans="18:22" x14ac:dyDescent="0.2">
      <c r="R116" s="5">
        <v>45840</v>
      </c>
      <c r="S116" s="1">
        <v>169.2</v>
      </c>
      <c r="U116" s="5">
        <v>45840</v>
      </c>
      <c r="V116" s="1">
        <v>179.42</v>
      </c>
    </row>
    <row r="117" spans="18:22" x14ac:dyDescent="0.2">
      <c r="R117" s="5">
        <v>45839</v>
      </c>
      <c r="S117" s="1">
        <v>167.8</v>
      </c>
      <c r="U117" s="5">
        <v>45839</v>
      </c>
      <c r="V117" s="1">
        <v>182.09</v>
      </c>
    </row>
    <row r="118" spans="18:22" x14ac:dyDescent="0.2">
      <c r="R118" s="5">
        <v>45838</v>
      </c>
      <c r="S118" s="1">
        <v>161.68</v>
      </c>
      <c r="U118" s="5">
        <v>45838</v>
      </c>
      <c r="V118" s="1">
        <v>180.17</v>
      </c>
    </row>
    <row r="119" spans="18:22" x14ac:dyDescent="0.2">
      <c r="R119" s="5">
        <v>45835</v>
      </c>
      <c r="S119" s="1">
        <v>163.05000000000001</v>
      </c>
      <c r="U119" s="5">
        <v>45835</v>
      </c>
      <c r="V119" s="1">
        <v>178.32</v>
      </c>
    </row>
    <row r="120" spans="18:22" x14ac:dyDescent="0.2">
      <c r="R120" s="5">
        <v>45834</v>
      </c>
      <c r="S120" s="1">
        <v>160.37</v>
      </c>
      <c r="U120" s="5">
        <v>45834</v>
      </c>
      <c r="V120" s="1">
        <v>177.6</v>
      </c>
    </row>
    <row r="121" spans="18:22" x14ac:dyDescent="0.2">
      <c r="R121" s="5">
        <v>45833</v>
      </c>
      <c r="S121" s="1">
        <v>159.72999999999999</v>
      </c>
      <c r="U121" s="5">
        <v>45833</v>
      </c>
      <c r="V121" s="1">
        <v>178.06</v>
      </c>
    </row>
    <row r="122" spans="18:22" x14ac:dyDescent="0.2">
      <c r="R122" s="5">
        <v>45832</v>
      </c>
      <c r="S122" s="1">
        <v>161.35</v>
      </c>
      <c r="U122" s="5">
        <v>45832</v>
      </c>
      <c r="V122" s="1">
        <v>181.02</v>
      </c>
    </row>
    <row r="123" spans="18:22" x14ac:dyDescent="0.2">
      <c r="R123" s="5">
        <v>45831</v>
      </c>
      <c r="S123" s="1">
        <v>160.74</v>
      </c>
      <c r="U123" s="5">
        <v>45831</v>
      </c>
      <c r="V123" s="1">
        <v>181.02</v>
      </c>
    </row>
    <row r="124" spans="18:22" x14ac:dyDescent="0.2">
      <c r="R124" s="5">
        <v>45828</v>
      </c>
      <c r="S124" s="1">
        <v>155.86000000000001</v>
      </c>
      <c r="U124" s="5">
        <v>45828</v>
      </c>
      <c r="V124" s="1">
        <v>178.28</v>
      </c>
    </row>
    <row r="125" spans="18:22" x14ac:dyDescent="0.2">
      <c r="R125" s="5">
        <v>45826</v>
      </c>
      <c r="S125" s="1">
        <v>155.43</v>
      </c>
      <c r="U125" s="5">
        <v>45826</v>
      </c>
      <c r="V125" s="1">
        <v>181.39</v>
      </c>
    </row>
    <row r="126" spans="18:22" x14ac:dyDescent="0.2">
      <c r="R126" s="5">
        <v>45825</v>
      </c>
      <c r="S126" s="1">
        <v>156.07</v>
      </c>
      <c r="U126" s="5">
        <v>45825</v>
      </c>
      <c r="V126" s="1">
        <v>180.33</v>
      </c>
    </row>
    <row r="127" spans="18:22" x14ac:dyDescent="0.2">
      <c r="R127" s="5">
        <v>45824</v>
      </c>
      <c r="S127" s="1">
        <v>158.84</v>
      </c>
      <c r="U127" s="5">
        <v>45824</v>
      </c>
      <c r="V127" s="1">
        <v>180.64</v>
      </c>
    </row>
    <row r="128" spans="18:22" x14ac:dyDescent="0.2">
      <c r="R128" s="5">
        <v>45821</v>
      </c>
      <c r="S128" s="1">
        <v>159.56</v>
      </c>
      <c r="U128" s="5">
        <v>45821</v>
      </c>
      <c r="V128" s="1">
        <v>179.1</v>
      </c>
    </row>
    <row r="129" spans="18:22" x14ac:dyDescent="0.2">
      <c r="R129" s="5">
        <v>45820</v>
      </c>
      <c r="S129" s="1">
        <v>161.79</v>
      </c>
      <c r="U129" s="5">
        <v>45820</v>
      </c>
      <c r="V129" s="1">
        <v>180.18</v>
      </c>
    </row>
    <row r="130" spans="18:22" x14ac:dyDescent="0.2">
      <c r="R130" s="5">
        <v>45819</v>
      </c>
      <c r="S130" s="1">
        <v>161.49</v>
      </c>
      <c r="U130" s="5">
        <v>45819</v>
      </c>
      <c r="V130" s="1">
        <v>179.8</v>
      </c>
    </row>
    <row r="131" spans="18:22" x14ac:dyDescent="0.2">
      <c r="R131" s="5">
        <v>45818</v>
      </c>
      <c r="S131" s="1">
        <v>167.24</v>
      </c>
      <c r="U131" s="5">
        <v>45818</v>
      </c>
      <c r="V131" s="1">
        <v>179.51</v>
      </c>
    </row>
    <row r="132" spans="18:22" x14ac:dyDescent="0.2">
      <c r="R132" s="5">
        <v>45817</v>
      </c>
      <c r="S132" s="1">
        <v>161.59</v>
      </c>
      <c r="U132" s="5">
        <v>45817</v>
      </c>
      <c r="V132" s="1">
        <v>179.96</v>
      </c>
    </row>
    <row r="133" spans="18:22" x14ac:dyDescent="0.2">
      <c r="R133" s="5">
        <v>45814</v>
      </c>
      <c r="S133" s="1">
        <v>159.71</v>
      </c>
      <c r="U133" s="5">
        <v>45814</v>
      </c>
      <c r="V133" s="1">
        <v>181.84</v>
      </c>
    </row>
    <row r="134" spans="18:22" x14ac:dyDescent="0.2">
      <c r="R134" s="5">
        <v>45813</v>
      </c>
      <c r="S134" s="1">
        <v>159.07</v>
      </c>
      <c r="U134" s="5">
        <v>45813</v>
      </c>
      <c r="V134" s="1">
        <v>181.01</v>
      </c>
    </row>
    <row r="135" spans="18:22" x14ac:dyDescent="0.2">
      <c r="R135" s="5">
        <v>45812</v>
      </c>
      <c r="S135" s="1">
        <v>160.87</v>
      </c>
      <c r="U135" s="5">
        <v>45812</v>
      </c>
      <c r="V135" s="1">
        <v>181.51</v>
      </c>
    </row>
    <row r="136" spans="18:22" x14ac:dyDescent="0.2">
      <c r="R136" s="5">
        <v>45811</v>
      </c>
      <c r="S136" s="1">
        <v>162.12</v>
      </c>
      <c r="U136" s="5">
        <v>45811</v>
      </c>
      <c r="V136" s="1">
        <v>180.21</v>
      </c>
    </row>
    <row r="137" spans="18:22" x14ac:dyDescent="0.2">
      <c r="R137" s="5">
        <v>45810</v>
      </c>
      <c r="S137" s="1">
        <v>159.11000000000001</v>
      </c>
      <c r="U137" s="5">
        <v>45810</v>
      </c>
      <c r="V137" s="1">
        <v>180.37</v>
      </c>
    </row>
    <row r="138" spans="18:22" x14ac:dyDescent="0.2">
      <c r="R138" s="5">
        <v>45807</v>
      </c>
      <c r="S138" s="1">
        <v>159.28</v>
      </c>
      <c r="U138" s="5">
        <v>45807</v>
      </c>
      <c r="V138" s="1">
        <v>181.17</v>
      </c>
    </row>
    <row r="139" spans="18:22" x14ac:dyDescent="0.2">
      <c r="R139" s="5">
        <v>45806</v>
      </c>
      <c r="S139" s="1">
        <v>161.11000000000001</v>
      </c>
      <c r="U139" s="5">
        <v>45806</v>
      </c>
      <c r="V139" s="1">
        <v>180.08</v>
      </c>
    </row>
    <row r="140" spans="18:22" x14ac:dyDescent="0.2">
      <c r="R140" s="5">
        <v>45805</v>
      </c>
      <c r="S140" s="1">
        <v>161.53</v>
      </c>
      <c r="U140" s="5">
        <v>45805</v>
      </c>
      <c r="V140" s="1">
        <v>182.1</v>
      </c>
    </row>
    <row r="141" spans="18:22" x14ac:dyDescent="0.2">
      <c r="R141" s="5">
        <v>45804</v>
      </c>
      <c r="S141" s="1">
        <v>163.30000000000001</v>
      </c>
      <c r="U141" s="5">
        <v>45804</v>
      </c>
      <c r="V141" s="1">
        <v>184.59</v>
      </c>
    </row>
    <row r="142" spans="18:22" x14ac:dyDescent="0.2">
      <c r="R142" s="5">
        <v>45800</v>
      </c>
      <c r="S142" s="1">
        <v>160.66</v>
      </c>
      <c r="U142" s="5">
        <v>45800</v>
      </c>
      <c r="V142" s="1">
        <v>182</v>
      </c>
    </row>
    <row r="143" spans="18:22" x14ac:dyDescent="0.2">
      <c r="R143" s="5">
        <v>45799</v>
      </c>
      <c r="S143" s="1">
        <v>162.69</v>
      </c>
      <c r="U143" s="5">
        <v>45799</v>
      </c>
      <c r="V143" s="1">
        <v>181.84</v>
      </c>
    </row>
    <row r="144" spans="18:22" x14ac:dyDescent="0.2">
      <c r="R144" s="5">
        <v>45798</v>
      </c>
      <c r="S144" s="1">
        <v>163.28</v>
      </c>
      <c r="U144" s="5">
        <v>45798</v>
      </c>
      <c r="V144" s="1">
        <v>182.98</v>
      </c>
    </row>
    <row r="145" spans="18:22" x14ac:dyDescent="0.2">
      <c r="R145" s="5">
        <v>45797</v>
      </c>
      <c r="S145" s="1">
        <v>168.66</v>
      </c>
      <c r="U145" s="5">
        <v>45797</v>
      </c>
      <c r="V145" s="1">
        <v>186.02</v>
      </c>
    </row>
    <row r="146" spans="18:22" x14ac:dyDescent="0.2">
      <c r="R146" s="5">
        <v>45796</v>
      </c>
      <c r="S146" s="1">
        <v>170.66</v>
      </c>
      <c r="U146" s="5">
        <v>45796</v>
      </c>
      <c r="V146" s="1">
        <v>184.29</v>
      </c>
    </row>
    <row r="147" spans="18:22" x14ac:dyDescent="0.2">
      <c r="R147" s="5">
        <v>45793</v>
      </c>
      <c r="S147" s="1">
        <v>170.33</v>
      </c>
      <c r="U147" s="5">
        <v>45793</v>
      </c>
      <c r="V147" s="1">
        <v>182.67</v>
      </c>
    </row>
    <row r="148" spans="18:22" x14ac:dyDescent="0.2">
      <c r="R148" s="5">
        <v>45792</v>
      </c>
      <c r="S148" s="1">
        <v>168.99</v>
      </c>
      <c r="U148" s="5">
        <v>45792</v>
      </c>
      <c r="V148" s="1">
        <v>180.63</v>
      </c>
    </row>
    <row r="149" spans="18:22" x14ac:dyDescent="0.2">
      <c r="R149" s="5">
        <v>45791</v>
      </c>
      <c r="S149" s="1">
        <v>170.7</v>
      </c>
      <c r="U149" s="5">
        <v>45791</v>
      </c>
      <c r="V149" s="1">
        <v>177.91</v>
      </c>
    </row>
    <row r="150" spans="18:22" x14ac:dyDescent="0.2">
      <c r="R150" s="5">
        <v>45790</v>
      </c>
      <c r="S150" s="1">
        <v>170.39</v>
      </c>
      <c r="U150" s="5">
        <v>45790</v>
      </c>
      <c r="V150" s="1">
        <v>178.34</v>
      </c>
    </row>
    <row r="151" spans="18:22" x14ac:dyDescent="0.2">
      <c r="R151" s="5">
        <v>45789</v>
      </c>
      <c r="S151" s="1">
        <v>175.09</v>
      </c>
      <c r="U151" s="5">
        <v>45789</v>
      </c>
      <c r="V151" s="1">
        <v>181.66</v>
      </c>
    </row>
    <row r="152" spans="18:22" x14ac:dyDescent="0.2">
      <c r="R152" s="5">
        <v>45786</v>
      </c>
      <c r="S152" s="1">
        <v>157.4</v>
      </c>
      <c r="U152" s="5">
        <v>45786</v>
      </c>
      <c r="V152" s="1">
        <v>180.96</v>
      </c>
    </row>
    <row r="153" spans="18:22" x14ac:dyDescent="0.2">
      <c r="R153" s="5">
        <v>45785</v>
      </c>
      <c r="S153" s="1">
        <v>159.22999999999999</v>
      </c>
      <c r="U153" s="5">
        <v>45785</v>
      </c>
      <c r="V153" s="1">
        <v>179.42</v>
      </c>
    </row>
    <row r="154" spans="18:22" x14ac:dyDescent="0.2">
      <c r="R154" s="5">
        <v>45784</v>
      </c>
      <c r="S154" s="1">
        <v>154.72999999999999</v>
      </c>
      <c r="U154" s="5">
        <v>45784</v>
      </c>
      <c r="V154" s="1">
        <v>171.65</v>
      </c>
    </row>
    <row r="155" spans="18:22" x14ac:dyDescent="0.2">
      <c r="R155" s="5">
        <v>45783</v>
      </c>
      <c r="S155" s="1">
        <v>152.5</v>
      </c>
      <c r="U155" s="5">
        <v>45783</v>
      </c>
      <c r="V155" s="1">
        <v>172.02</v>
      </c>
    </row>
    <row r="156" spans="18:22" x14ac:dyDescent="0.2">
      <c r="R156" s="5">
        <v>45782</v>
      </c>
      <c r="S156" s="1">
        <v>155.36000000000001</v>
      </c>
      <c r="U156" s="5">
        <v>45782</v>
      </c>
      <c r="V156" s="1">
        <v>172.27</v>
      </c>
    </row>
    <row r="157" spans="18:22" x14ac:dyDescent="0.2">
      <c r="R157" s="5">
        <v>45779</v>
      </c>
      <c r="S157" s="1">
        <v>157.13</v>
      </c>
      <c r="U157" s="5">
        <v>45779</v>
      </c>
      <c r="V157" s="1">
        <v>174.15</v>
      </c>
    </row>
    <row r="158" spans="18:22" x14ac:dyDescent="0.2">
      <c r="R158" s="5">
        <v>45778</v>
      </c>
      <c r="S158" s="1">
        <v>149.72</v>
      </c>
      <c r="U158" s="5">
        <v>45778</v>
      </c>
      <c r="V158" s="1">
        <v>173.89</v>
      </c>
    </row>
    <row r="159" spans="18:22" x14ac:dyDescent="0.2">
      <c r="R159" s="5">
        <v>45777</v>
      </c>
      <c r="S159" s="1">
        <v>152.43</v>
      </c>
      <c r="U159" s="5">
        <v>45777</v>
      </c>
      <c r="V159" s="1">
        <v>173.43</v>
      </c>
    </row>
    <row r="160" spans="18:22" x14ac:dyDescent="0.2">
      <c r="R160" s="5">
        <v>45776</v>
      </c>
      <c r="S160" s="1">
        <v>148.82</v>
      </c>
      <c r="U160" s="5">
        <v>45776</v>
      </c>
      <c r="V160" s="1">
        <v>173.51</v>
      </c>
    </row>
    <row r="161" spans="18:22" x14ac:dyDescent="0.2">
      <c r="R161" s="5">
        <v>45775</v>
      </c>
      <c r="S161" s="1">
        <v>148.16999999999999</v>
      </c>
      <c r="U161" s="5">
        <v>45775</v>
      </c>
      <c r="V161" s="1">
        <v>170.05</v>
      </c>
    </row>
    <row r="162" spans="18:22" x14ac:dyDescent="0.2">
      <c r="R162" s="5">
        <v>45772</v>
      </c>
      <c r="S162" s="1">
        <v>145.91999999999999</v>
      </c>
      <c r="U162" s="5">
        <v>45772</v>
      </c>
      <c r="V162" s="1">
        <v>170.93</v>
      </c>
    </row>
    <row r="163" spans="18:22" x14ac:dyDescent="0.2">
      <c r="R163" s="5">
        <v>45771</v>
      </c>
      <c r="S163" s="1">
        <v>158.02000000000001</v>
      </c>
      <c r="U163" s="5">
        <v>45771</v>
      </c>
      <c r="V163" s="1">
        <v>172.54</v>
      </c>
    </row>
    <row r="164" spans="18:22" x14ac:dyDescent="0.2">
      <c r="R164" s="5">
        <v>45770</v>
      </c>
      <c r="S164" s="1">
        <v>152.38</v>
      </c>
      <c r="U164" s="5">
        <v>45770</v>
      </c>
      <c r="V164" s="1">
        <v>173.21</v>
      </c>
    </row>
    <row r="165" spans="18:22" x14ac:dyDescent="0.2">
      <c r="R165" s="5">
        <v>45769</v>
      </c>
      <c r="S165" s="1">
        <v>151.22999999999999</v>
      </c>
      <c r="U165" s="5">
        <v>45769</v>
      </c>
      <c r="V165" s="1">
        <v>172.68</v>
      </c>
    </row>
    <row r="166" spans="18:22" x14ac:dyDescent="0.2">
      <c r="R166" s="5">
        <v>45768</v>
      </c>
      <c r="S166" s="1">
        <v>149.04</v>
      </c>
      <c r="U166" s="5">
        <v>45768</v>
      </c>
      <c r="V166" s="1">
        <v>168.72</v>
      </c>
    </row>
    <row r="167" spans="18:22" x14ac:dyDescent="0.2">
      <c r="R167" s="5">
        <v>45764</v>
      </c>
      <c r="S167" s="1">
        <v>152.9</v>
      </c>
      <c r="U167" s="5">
        <v>45764</v>
      </c>
      <c r="V167" s="1">
        <v>171.83</v>
      </c>
    </row>
    <row r="168" spans="18:22" x14ac:dyDescent="0.2">
      <c r="R168" s="5">
        <v>45763</v>
      </c>
      <c r="S168" s="1">
        <v>147.03</v>
      </c>
      <c r="U168" s="5">
        <v>45763</v>
      </c>
      <c r="V168" s="1">
        <v>171.88</v>
      </c>
    </row>
    <row r="169" spans="18:22" x14ac:dyDescent="0.2">
      <c r="R169" s="5">
        <v>45762</v>
      </c>
      <c r="S169" s="1">
        <v>152</v>
      </c>
      <c r="U169" s="5">
        <v>45762</v>
      </c>
      <c r="V169" s="1">
        <v>173.95</v>
      </c>
    </row>
    <row r="170" spans="18:22" x14ac:dyDescent="0.2">
      <c r="R170" s="5">
        <v>45761</v>
      </c>
      <c r="S170" s="1">
        <v>154.25</v>
      </c>
      <c r="U170" s="5">
        <v>45761</v>
      </c>
      <c r="V170" s="1">
        <v>173.85</v>
      </c>
    </row>
    <row r="171" spans="18:22" x14ac:dyDescent="0.2">
      <c r="R171" s="5">
        <v>45758</v>
      </c>
      <c r="S171" s="1">
        <v>151.38</v>
      </c>
      <c r="U171" s="5">
        <v>45758</v>
      </c>
      <c r="V171" s="1">
        <v>172.77</v>
      </c>
    </row>
    <row r="172" spans="18:22" x14ac:dyDescent="0.2">
      <c r="R172" s="5">
        <v>45757</v>
      </c>
      <c r="S172" s="1">
        <v>155.88</v>
      </c>
      <c r="U172" s="5">
        <v>45757</v>
      </c>
      <c r="V172" s="1">
        <v>170.14</v>
      </c>
    </row>
    <row r="173" spans="18:22" x14ac:dyDescent="0.2">
      <c r="R173" s="5">
        <v>45756</v>
      </c>
      <c r="S173" s="1">
        <v>164.57</v>
      </c>
      <c r="U173" s="5">
        <v>45756</v>
      </c>
      <c r="V173" s="1">
        <v>170.71</v>
      </c>
    </row>
    <row r="174" spans="18:22" x14ac:dyDescent="0.2">
      <c r="R174" s="5">
        <v>45755</v>
      </c>
      <c r="S174" s="1">
        <v>147.52000000000001</v>
      </c>
      <c r="U174" s="5">
        <v>45755</v>
      </c>
      <c r="V174" s="1">
        <v>163.54</v>
      </c>
    </row>
    <row r="175" spans="18:22" x14ac:dyDescent="0.2">
      <c r="R175" s="5">
        <v>45754</v>
      </c>
      <c r="S175" s="1">
        <v>150.57</v>
      </c>
      <c r="U175" s="5">
        <v>45754</v>
      </c>
      <c r="V175" s="1">
        <v>169.36</v>
      </c>
    </row>
    <row r="176" spans="18:22" x14ac:dyDescent="0.2">
      <c r="R176" s="5">
        <v>45751</v>
      </c>
      <c r="S176" s="1">
        <v>151.22</v>
      </c>
      <c r="U176" s="5">
        <v>45751</v>
      </c>
      <c r="V176" s="1">
        <v>172.62</v>
      </c>
    </row>
    <row r="177" spans="18:22" x14ac:dyDescent="0.2">
      <c r="R177" s="5">
        <v>45750</v>
      </c>
      <c r="S177" s="1">
        <v>154.88</v>
      </c>
      <c r="U177" s="5">
        <v>45750</v>
      </c>
      <c r="V177" s="1">
        <v>184.6</v>
      </c>
    </row>
    <row r="178" spans="18:22" x14ac:dyDescent="0.2">
      <c r="R178" s="5">
        <v>45749</v>
      </c>
      <c r="S178" s="1">
        <v>169.16</v>
      </c>
      <c r="U178" s="5">
        <v>45749</v>
      </c>
      <c r="V178" s="1">
        <v>184.11</v>
      </c>
    </row>
    <row r="179" spans="18:22" x14ac:dyDescent="0.2">
      <c r="R179" s="5">
        <v>45748</v>
      </c>
      <c r="S179" s="1">
        <v>166.16</v>
      </c>
      <c r="U179" s="5">
        <v>45748</v>
      </c>
      <c r="V179" s="1">
        <v>184.02</v>
      </c>
    </row>
    <row r="180" spans="18:22" x14ac:dyDescent="0.2">
      <c r="R180" s="5">
        <v>45747</v>
      </c>
      <c r="S180" s="1">
        <v>164.53</v>
      </c>
      <c r="U180" s="5">
        <v>45747</v>
      </c>
      <c r="V180" s="1">
        <v>182.6</v>
      </c>
    </row>
    <row r="181" spans="18:22" x14ac:dyDescent="0.2">
      <c r="R181" s="5">
        <v>45744</v>
      </c>
      <c r="S181" s="1">
        <v>163.93</v>
      </c>
      <c r="U181" s="5">
        <v>45744</v>
      </c>
      <c r="V181" s="1">
        <v>178.59</v>
      </c>
    </row>
    <row r="182" spans="18:22" x14ac:dyDescent="0.2">
      <c r="R182" s="5">
        <v>45743</v>
      </c>
      <c r="S182" s="1">
        <v>169.28</v>
      </c>
      <c r="U182" s="5">
        <v>45743</v>
      </c>
      <c r="V182" s="1">
        <v>179.32</v>
      </c>
    </row>
    <row r="183" spans="18:22" x14ac:dyDescent="0.2">
      <c r="R183" s="5">
        <v>45742</v>
      </c>
      <c r="S183" s="1">
        <v>167.73</v>
      </c>
      <c r="U183" s="5">
        <v>45742</v>
      </c>
      <c r="V183" s="1">
        <v>179.39</v>
      </c>
    </row>
    <row r="184" spans="18:22" x14ac:dyDescent="0.2">
      <c r="R184" s="5">
        <v>45741</v>
      </c>
      <c r="S184" s="1">
        <v>166.67</v>
      </c>
      <c r="U184" s="5">
        <v>45741</v>
      </c>
      <c r="V184" s="1">
        <v>174.78</v>
      </c>
    </row>
    <row r="185" spans="18:22" x14ac:dyDescent="0.2">
      <c r="R185" s="5">
        <v>45740</v>
      </c>
      <c r="S185" s="1">
        <v>169.11</v>
      </c>
      <c r="U185" s="5">
        <v>45740</v>
      </c>
      <c r="V185" s="1">
        <v>172.82</v>
      </c>
    </row>
    <row r="186" spans="18:22" x14ac:dyDescent="0.2">
      <c r="R186" s="5">
        <v>45737</v>
      </c>
      <c r="S186" s="1">
        <v>164.3</v>
      </c>
      <c r="U186" s="5">
        <v>45737</v>
      </c>
      <c r="V186" s="1">
        <v>173.05</v>
      </c>
    </row>
    <row r="187" spans="18:22" x14ac:dyDescent="0.2">
      <c r="R187" s="5">
        <v>45736</v>
      </c>
      <c r="S187" s="1">
        <v>160.24</v>
      </c>
      <c r="U187" s="5">
        <v>45736</v>
      </c>
      <c r="V187" s="1">
        <v>175.3</v>
      </c>
    </row>
    <row r="188" spans="18:22" x14ac:dyDescent="0.2">
      <c r="R188" s="5">
        <v>45735</v>
      </c>
      <c r="S188" s="1">
        <v>161.54</v>
      </c>
      <c r="U188" s="5">
        <v>45735</v>
      </c>
      <c r="V188" s="1">
        <v>177.17</v>
      </c>
    </row>
    <row r="189" spans="18:22" x14ac:dyDescent="0.2">
      <c r="R189" s="5">
        <v>45734</v>
      </c>
      <c r="S189" s="1">
        <v>161.18</v>
      </c>
      <c r="U189" s="5">
        <v>45734</v>
      </c>
      <c r="V189" s="1">
        <v>176.7</v>
      </c>
    </row>
    <row r="190" spans="18:22" x14ac:dyDescent="0.2">
      <c r="R190" s="5">
        <v>45733</v>
      </c>
      <c r="S190" s="1">
        <v>165.2</v>
      </c>
      <c r="U190" s="5">
        <v>45733</v>
      </c>
      <c r="V190" s="1">
        <v>177.19</v>
      </c>
    </row>
    <row r="191" spans="18:22" x14ac:dyDescent="0.2">
      <c r="R191" s="5">
        <v>45730</v>
      </c>
      <c r="S191" s="1">
        <v>161.6</v>
      </c>
      <c r="U191" s="5">
        <v>45730</v>
      </c>
      <c r="V191" s="1">
        <v>175.83</v>
      </c>
    </row>
    <row r="192" spans="18:22" x14ac:dyDescent="0.2">
      <c r="R192" s="5">
        <v>45729</v>
      </c>
      <c r="S192" s="1">
        <v>162.07</v>
      </c>
      <c r="U192" s="5">
        <v>45729</v>
      </c>
      <c r="V192" s="1">
        <v>175.32</v>
      </c>
    </row>
    <row r="193" spans="18:22" x14ac:dyDescent="0.2">
      <c r="R193" s="5">
        <v>45728</v>
      </c>
      <c r="S193" s="1">
        <v>163.63</v>
      </c>
      <c r="U193" s="5">
        <v>45728</v>
      </c>
      <c r="V193" s="1">
        <v>173.14</v>
      </c>
    </row>
    <row r="194" spans="18:22" x14ac:dyDescent="0.2">
      <c r="R194" s="5">
        <v>45727</v>
      </c>
      <c r="S194" s="1">
        <v>166.1</v>
      </c>
      <c r="U194" s="5">
        <v>45727</v>
      </c>
      <c r="V194" s="1">
        <v>176.69</v>
      </c>
    </row>
    <row r="195" spans="18:22" x14ac:dyDescent="0.2">
      <c r="R195" s="5">
        <v>45726</v>
      </c>
      <c r="S195" s="1">
        <v>176.98</v>
      </c>
      <c r="U195" s="5">
        <v>45726</v>
      </c>
      <c r="V195" s="1">
        <v>190.15</v>
      </c>
    </row>
    <row r="196" spans="18:22" x14ac:dyDescent="0.2">
      <c r="R196" s="5">
        <v>45723</v>
      </c>
      <c r="S196" s="1">
        <v>178.55</v>
      </c>
      <c r="U196" s="5">
        <v>45723</v>
      </c>
      <c r="V196" s="1">
        <v>191.28</v>
      </c>
    </row>
    <row r="197" spans="18:22" x14ac:dyDescent="0.2">
      <c r="R197" s="5">
        <v>45722</v>
      </c>
      <c r="S197" s="1">
        <v>176.59</v>
      </c>
      <c r="U197" s="5">
        <v>45722</v>
      </c>
      <c r="V197" s="1">
        <v>183.51</v>
      </c>
    </row>
    <row r="198" spans="18:22" x14ac:dyDescent="0.2">
      <c r="R198" s="5">
        <v>45721</v>
      </c>
      <c r="S198" s="1">
        <v>175.54</v>
      </c>
      <c r="U198" s="5">
        <v>45721</v>
      </c>
      <c r="V198" s="1">
        <v>177.63</v>
      </c>
    </row>
    <row r="199" spans="18:22" x14ac:dyDescent="0.2">
      <c r="R199" s="5">
        <v>45720</v>
      </c>
      <c r="S199" s="1">
        <v>173.75</v>
      </c>
      <c r="U199" s="5">
        <v>45720</v>
      </c>
      <c r="V199" s="1">
        <v>177.02</v>
      </c>
    </row>
    <row r="200" spans="18:22" x14ac:dyDescent="0.2">
      <c r="R200" s="5">
        <v>45719</v>
      </c>
      <c r="S200" s="1">
        <v>171.05</v>
      </c>
      <c r="U200" s="5">
        <v>45719</v>
      </c>
      <c r="V200" s="1">
        <v>178</v>
      </c>
    </row>
    <row r="201" spans="18:22" x14ac:dyDescent="0.2">
      <c r="R201" s="5">
        <v>45716</v>
      </c>
      <c r="S201" s="1">
        <v>175.24</v>
      </c>
      <c r="U201" s="5">
        <v>45716</v>
      </c>
      <c r="V201" s="1">
        <v>173.59</v>
      </c>
    </row>
    <row r="202" spans="18:22" x14ac:dyDescent="0.2">
      <c r="R202" s="5">
        <v>45715</v>
      </c>
      <c r="S202" s="1">
        <v>173.52</v>
      </c>
      <c r="U202" s="5">
        <v>45715</v>
      </c>
      <c r="V202" s="1">
        <v>171.87</v>
      </c>
    </row>
    <row r="203" spans="18:22" x14ac:dyDescent="0.2">
      <c r="R203" s="5">
        <v>45714</v>
      </c>
      <c r="S203" s="1">
        <v>174.43</v>
      </c>
      <c r="U203" s="5">
        <v>45714</v>
      </c>
      <c r="V203" s="1">
        <v>171.76</v>
      </c>
    </row>
    <row r="204" spans="18:22" x14ac:dyDescent="0.2">
      <c r="R204" s="5">
        <v>45713</v>
      </c>
      <c r="S204" s="1">
        <v>178.59</v>
      </c>
      <c r="U204" s="5">
        <v>45713</v>
      </c>
      <c r="V204" s="1">
        <v>174.05</v>
      </c>
    </row>
    <row r="205" spans="18:22" x14ac:dyDescent="0.2">
      <c r="R205" s="5">
        <v>45712</v>
      </c>
      <c r="S205" s="1">
        <v>180.67</v>
      </c>
      <c r="U205" s="5">
        <v>45712</v>
      </c>
      <c r="V205" s="1">
        <v>172.61</v>
      </c>
    </row>
    <row r="206" spans="18:22" x14ac:dyDescent="0.2">
      <c r="R206" s="5">
        <v>45709</v>
      </c>
      <c r="S206" s="1">
        <v>179.11</v>
      </c>
      <c r="U206" s="5">
        <v>45709</v>
      </c>
      <c r="V206" s="1">
        <v>171.13</v>
      </c>
    </row>
    <row r="207" spans="18:22" x14ac:dyDescent="0.2">
      <c r="R207" s="5">
        <v>45708</v>
      </c>
      <c r="S207" s="1">
        <v>195.84</v>
      </c>
      <c r="U207" s="5">
        <v>45708</v>
      </c>
      <c r="V207" s="1">
        <v>168.7</v>
      </c>
    </row>
    <row r="208" spans="18:22" x14ac:dyDescent="0.2">
      <c r="R208" s="5">
        <v>45707</v>
      </c>
      <c r="S208" s="1">
        <v>203.64</v>
      </c>
      <c r="U208" s="5">
        <v>45707</v>
      </c>
      <c r="V208" s="1">
        <v>167.36</v>
      </c>
    </row>
    <row r="209" spans="18:22" x14ac:dyDescent="0.2">
      <c r="R209" s="5">
        <v>45706</v>
      </c>
      <c r="S209" s="1">
        <v>207.79</v>
      </c>
      <c r="U209" s="5">
        <v>45706</v>
      </c>
      <c r="V209" s="1">
        <v>167.8</v>
      </c>
    </row>
    <row r="210" spans="18:22" x14ac:dyDescent="0.2">
      <c r="R210" s="5">
        <v>45702</v>
      </c>
      <c r="S210" s="1">
        <v>204.87</v>
      </c>
      <c r="U210" s="5">
        <v>45702</v>
      </c>
      <c r="V210" s="1">
        <v>166.47</v>
      </c>
    </row>
    <row r="211" spans="18:22" x14ac:dyDescent="0.2">
      <c r="R211" s="5">
        <v>45701</v>
      </c>
      <c r="S211" s="1">
        <v>204.92</v>
      </c>
      <c r="U211" s="5">
        <v>45701</v>
      </c>
      <c r="V211" s="1">
        <v>170.47</v>
      </c>
    </row>
    <row r="212" spans="18:22" x14ac:dyDescent="0.2">
      <c r="R212" s="5">
        <v>45700</v>
      </c>
      <c r="S212" s="1">
        <v>201.57</v>
      </c>
      <c r="U212" s="5">
        <v>45700</v>
      </c>
      <c r="V212" s="1">
        <v>170.19</v>
      </c>
    </row>
    <row r="213" spans="18:22" x14ac:dyDescent="0.2">
      <c r="R213" s="5">
        <v>45699</v>
      </c>
      <c r="S213" s="1">
        <v>204.3</v>
      </c>
      <c r="U213" s="5">
        <v>45699</v>
      </c>
      <c r="V213" s="1">
        <v>170.97</v>
      </c>
    </row>
    <row r="214" spans="18:22" x14ac:dyDescent="0.2">
      <c r="R214" s="5">
        <v>45698</v>
      </c>
      <c r="S214" s="1">
        <v>200.34</v>
      </c>
      <c r="U214" s="5">
        <v>45698</v>
      </c>
      <c r="V214" s="1">
        <v>173.66</v>
      </c>
    </row>
    <row r="215" spans="18:22" x14ac:dyDescent="0.2">
      <c r="R215" s="5">
        <v>45695</v>
      </c>
      <c r="S215" s="1">
        <v>195.79</v>
      </c>
      <c r="U215" s="5">
        <v>45695</v>
      </c>
      <c r="V215" s="1">
        <v>173.81</v>
      </c>
    </row>
    <row r="216" spans="18:22" x14ac:dyDescent="0.2">
      <c r="R216" s="5">
        <v>45694</v>
      </c>
      <c r="S216" s="1">
        <v>194.48</v>
      </c>
      <c r="U216" s="5">
        <v>45694</v>
      </c>
      <c r="V216" s="1">
        <v>173.87</v>
      </c>
    </row>
    <row r="217" spans="18:22" x14ac:dyDescent="0.2">
      <c r="R217" s="5">
        <v>45693</v>
      </c>
      <c r="S217" s="1">
        <v>192.27</v>
      </c>
      <c r="U217" s="5">
        <v>45693</v>
      </c>
      <c r="V217" s="1">
        <v>172.78</v>
      </c>
    </row>
    <row r="218" spans="18:22" x14ac:dyDescent="0.2">
      <c r="R218" s="5">
        <v>45692</v>
      </c>
      <c r="S218" s="1">
        <v>182.35</v>
      </c>
      <c r="U218" s="5">
        <v>45692</v>
      </c>
      <c r="V218" s="1">
        <v>174.08</v>
      </c>
    </row>
    <row r="219" spans="18:22" x14ac:dyDescent="0.2">
      <c r="R219" s="5">
        <v>45691</v>
      </c>
      <c r="S219" s="1">
        <v>180.75</v>
      </c>
      <c r="U219" s="5">
        <v>45691</v>
      </c>
      <c r="V219" s="1">
        <v>174.78</v>
      </c>
    </row>
    <row r="220" spans="18:22" x14ac:dyDescent="0.2">
      <c r="R220" s="5">
        <v>45688</v>
      </c>
      <c r="S220" s="1">
        <v>184.28</v>
      </c>
      <c r="U220" s="5">
        <v>45688</v>
      </c>
      <c r="V220" s="1">
        <v>174.09</v>
      </c>
    </row>
    <row r="221" spans="18:22" x14ac:dyDescent="0.2">
      <c r="R221" s="5">
        <v>45687</v>
      </c>
      <c r="S221" s="1">
        <v>185.45</v>
      </c>
      <c r="U221" s="5">
        <v>45687</v>
      </c>
      <c r="V221" s="1">
        <v>174.34</v>
      </c>
    </row>
    <row r="222" spans="18:22" x14ac:dyDescent="0.2">
      <c r="R222" s="5">
        <v>45686</v>
      </c>
      <c r="S222" s="1">
        <v>184.51</v>
      </c>
      <c r="U222" s="5">
        <v>45686</v>
      </c>
      <c r="V222" s="1">
        <v>172.91</v>
      </c>
    </row>
    <row r="223" spans="18:22" x14ac:dyDescent="0.2">
      <c r="R223" s="5">
        <v>45685</v>
      </c>
      <c r="S223" s="1">
        <v>188.63</v>
      </c>
      <c r="U223" s="5">
        <v>45685</v>
      </c>
      <c r="V223" s="1">
        <v>175.15</v>
      </c>
    </row>
    <row r="224" spans="18:22" x14ac:dyDescent="0.2">
      <c r="R224" s="5">
        <v>45684</v>
      </c>
      <c r="S224" s="1">
        <v>193.32</v>
      </c>
      <c r="U224" s="5">
        <v>45684</v>
      </c>
      <c r="V224" s="1">
        <v>177.6</v>
      </c>
    </row>
    <row r="225" spans="18:22" x14ac:dyDescent="0.2">
      <c r="R225" s="5">
        <v>45681</v>
      </c>
      <c r="S225" s="1">
        <v>189.45</v>
      </c>
      <c r="U225" s="5">
        <v>45681</v>
      </c>
      <c r="V225" s="1">
        <v>173.88</v>
      </c>
    </row>
    <row r="226" spans="18:22" x14ac:dyDescent="0.2">
      <c r="R226" s="5">
        <v>45680</v>
      </c>
      <c r="S226" s="1">
        <v>190.17</v>
      </c>
      <c r="U226" s="5">
        <v>45680</v>
      </c>
      <c r="V226" s="1">
        <v>174.12</v>
      </c>
    </row>
    <row r="227" spans="18:22" x14ac:dyDescent="0.2">
      <c r="R227" s="5">
        <v>45679</v>
      </c>
      <c r="S227" s="1">
        <v>187.44</v>
      </c>
      <c r="U227" s="5">
        <v>45679</v>
      </c>
      <c r="V227" s="1">
        <v>173.54</v>
      </c>
    </row>
    <row r="228" spans="18:22" x14ac:dyDescent="0.2">
      <c r="R228" s="5">
        <v>45678</v>
      </c>
      <c r="S228" s="1">
        <v>189.07</v>
      </c>
      <c r="U228" s="5">
        <v>45678</v>
      </c>
      <c r="V228" s="1">
        <v>174.75</v>
      </c>
    </row>
    <row r="229" spans="18:22" x14ac:dyDescent="0.2">
      <c r="R229" s="5">
        <v>45674</v>
      </c>
      <c r="S229" s="1">
        <v>188.2</v>
      </c>
      <c r="U229" s="5">
        <v>45674</v>
      </c>
      <c r="V229" s="1">
        <v>173.16</v>
      </c>
    </row>
    <row r="230" spans="18:22" x14ac:dyDescent="0.2">
      <c r="R230" s="5">
        <v>45673</v>
      </c>
      <c r="S230" s="1">
        <v>188.56</v>
      </c>
      <c r="U230" s="5">
        <v>45673</v>
      </c>
      <c r="V230" s="1">
        <v>172.5</v>
      </c>
    </row>
    <row r="231" spans="18:22" x14ac:dyDescent="0.2">
      <c r="R231" s="5">
        <v>45672</v>
      </c>
      <c r="S231" s="1">
        <v>185.52</v>
      </c>
      <c r="U231" s="5">
        <v>45672</v>
      </c>
      <c r="V231" s="1">
        <v>171.97</v>
      </c>
    </row>
    <row r="232" spans="18:22" x14ac:dyDescent="0.2">
      <c r="R232" s="5">
        <v>45671</v>
      </c>
      <c r="S232" s="1">
        <v>182.31</v>
      </c>
      <c r="U232" s="5">
        <v>45671</v>
      </c>
      <c r="V232" s="1">
        <v>172.37</v>
      </c>
    </row>
    <row r="233" spans="18:22" x14ac:dyDescent="0.2">
      <c r="R233" s="5">
        <v>45670</v>
      </c>
      <c r="S233" s="1">
        <v>179.38</v>
      </c>
      <c r="U233" s="5">
        <v>45670</v>
      </c>
      <c r="V233" s="1">
        <v>173.25</v>
      </c>
    </row>
    <row r="234" spans="18:22" x14ac:dyDescent="0.2">
      <c r="R234" s="5">
        <v>45667</v>
      </c>
      <c r="S234" s="1">
        <v>175.15</v>
      </c>
      <c r="U234" s="5">
        <v>45667</v>
      </c>
      <c r="V234" s="1">
        <v>172</v>
      </c>
    </row>
    <row r="235" spans="18:22" x14ac:dyDescent="0.2">
      <c r="R235" s="5">
        <v>45665</v>
      </c>
      <c r="S235" s="1">
        <v>178.3</v>
      </c>
      <c r="U235" s="5">
        <v>45665</v>
      </c>
      <c r="V235" s="1">
        <v>173.45</v>
      </c>
    </row>
    <row r="236" spans="18:22" x14ac:dyDescent="0.2">
      <c r="R236" s="5">
        <v>45664</v>
      </c>
      <c r="S236" s="1">
        <v>179.35</v>
      </c>
      <c r="U236" s="5">
        <v>45664</v>
      </c>
      <c r="V236" s="1">
        <v>171.34</v>
      </c>
    </row>
    <row r="237" spans="18:22" x14ac:dyDescent="0.2">
      <c r="R237" s="5">
        <v>45663</v>
      </c>
      <c r="S237" s="1">
        <v>181.36</v>
      </c>
      <c r="U237" s="5">
        <v>45663</v>
      </c>
      <c r="V237" s="1">
        <v>169.63</v>
      </c>
    </row>
    <row r="238" spans="18:22" x14ac:dyDescent="0.2">
      <c r="R238" s="5">
        <v>45660</v>
      </c>
      <c r="S238" s="1">
        <v>179.62</v>
      </c>
      <c r="U238" s="5">
        <v>45660</v>
      </c>
      <c r="V238" s="1">
        <v>173.7</v>
      </c>
    </row>
    <row r="239" spans="18:22" x14ac:dyDescent="0.2">
      <c r="R239" s="5">
        <v>45659</v>
      </c>
      <c r="S239" s="1">
        <v>174.47</v>
      </c>
      <c r="U239" s="5">
        <v>45659</v>
      </c>
      <c r="V239" s="1">
        <v>172.97</v>
      </c>
    </row>
    <row r="240" spans="18:22" x14ac:dyDescent="0.2">
      <c r="R240" s="5">
        <v>45657</v>
      </c>
      <c r="S240" s="1">
        <v>175.14</v>
      </c>
      <c r="U240" s="5">
        <v>45657</v>
      </c>
      <c r="V240" s="1">
        <v>175.3</v>
      </c>
    </row>
    <row r="241" spans="18:22" x14ac:dyDescent="0.2">
      <c r="R241" s="5">
        <v>45656</v>
      </c>
      <c r="S241" s="1">
        <v>176.01</v>
      </c>
      <c r="U241" s="5">
        <v>45656</v>
      </c>
      <c r="V241" s="1">
        <v>175.08</v>
      </c>
    </row>
    <row r="242" spans="18:22" x14ac:dyDescent="0.2">
      <c r="R242" s="5">
        <v>45653</v>
      </c>
      <c r="S242" s="1">
        <v>178.94</v>
      </c>
      <c r="U242" s="5">
        <v>45653</v>
      </c>
      <c r="V242" s="1">
        <v>176.88</v>
      </c>
    </row>
    <row r="243" spans="18:22" x14ac:dyDescent="0.2">
      <c r="R243" s="5">
        <v>45652</v>
      </c>
      <c r="S243" s="1">
        <v>180.14</v>
      </c>
      <c r="U243" s="5">
        <v>45652</v>
      </c>
      <c r="V243" s="1">
        <v>177.51</v>
      </c>
    </row>
    <row r="244" spans="18:22" x14ac:dyDescent="0.2">
      <c r="R244" s="5">
        <v>45650</v>
      </c>
      <c r="S244" s="1">
        <v>180.27</v>
      </c>
      <c r="U244" s="5">
        <v>45650</v>
      </c>
      <c r="V244" s="1">
        <v>177.05</v>
      </c>
    </row>
    <row r="245" spans="18:22" x14ac:dyDescent="0.2">
      <c r="R245" s="5">
        <v>45649</v>
      </c>
      <c r="S245" s="1">
        <v>178.87</v>
      </c>
      <c r="U245" s="5">
        <v>45649</v>
      </c>
      <c r="V245" s="1">
        <v>175.64</v>
      </c>
    </row>
    <row r="246" spans="18:22" x14ac:dyDescent="0.2">
      <c r="R246" s="5">
        <v>45646</v>
      </c>
      <c r="S246" s="1">
        <v>180.07</v>
      </c>
      <c r="U246" s="5">
        <v>45646</v>
      </c>
      <c r="V246" s="1">
        <v>176.74</v>
      </c>
    </row>
    <row r="247" spans="18:22" x14ac:dyDescent="0.2">
      <c r="R247" s="5">
        <v>45645</v>
      </c>
      <c r="S247" s="1">
        <v>186.4</v>
      </c>
      <c r="U247" s="5">
        <v>45645</v>
      </c>
      <c r="V247" s="1">
        <v>175.99</v>
      </c>
    </row>
    <row r="248" spans="18:22" x14ac:dyDescent="0.2">
      <c r="R248" s="5">
        <v>45644</v>
      </c>
      <c r="S248" s="1">
        <v>190.4</v>
      </c>
      <c r="U248" s="5">
        <v>45644</v>
      </c>
      <c r="V248" s="1">
        <v>176.5</v>
      </c>
    </row>
    <row r="249" spans="18:22" x14ac:dyDescent="0.2">
      <c r="R249" s="5">
        <v>45643</v>
      </c>
      <c r="S249" s="1">
        <v>197.56</v>
      </c>
      <c r="U249" s="5">
        <v>45643</v>
      </c>
      <c r="V249" s="1">
        <v>177.67</v>
      </c>
    </row>
    <row r="250" spans="18:22" x14ac:dyDescent="0.2">
      <c r="R250" s="5">
        <v>45642</v>
      </c>
      <c r="S250" s="1">
        <v>197.47</v>
      </c>
      <c r="U250" s="5">
        <v>45642</v>
      </c>
      <c r="V250" s="1">
        <v>178.08</v>
      </c>
    </row>
    <row r="251" spans="18:22" x14ac:dyDescent="0.2">
      <c r="R251" s="5">
        <v>45639</v>
      </c>
      <c r="S251" s="1">
        <v>199.26</v>
      </c>
      <c r="U251" s="5">
        <v>45639</v>
      </c>
      <c r="V251" s="1">
        <v>179.8</v>
      </c>
    </row>
    <row r="252" spans="18:22" x14ac:dyDescent="0.2">
      <c r="R252" s="5">
        <v>45638</v>
      </c>
      <c r="S252" s="1">
        <v>201.59</v>
      </c>
      <c r="U252" s="5">
        <v>45638</v>
      </c>
      <c r="V252" s="1">
        <v>180.55</v>
      </c>
    </row>
    <row r="253" spans="18:22" x14ac:dyDescent="0.2">
      <c r="R253" s="5">
        <v>45637</v>
      </c>
      <c r="S253" s="1">
        <v>203.35</v>
      </c>
      <c r="U253" s="5">
        <v>45637</v>
      </c>
      <c r="V253" s="1">
        <v>178.85</v>
      </c>
    </row>
    <row r="254" spans="18:22" x14ac:dyDescent="0.2">
      <c r="R254" s="5">
        <v>45636</v>
      </c>
      <c r="S254" s="1">
        <v>203.62</v>
      </c>
      <c r="U254" s="5">
        <v>45636</v>
      </c>
      <c r="V254" s="1">
        <v>177.27</v>
      </c>
    </row>
    <row r="255" spans="18:22" x14ac:dyDescent="0.2">
      <c r="R255" s="5">
        <v>45635</v>
      </c>
      <c r="S255" s="1">
        <v>202.47</v>
      </c>
      <c r="U255" s="5">
        <v>45635</v>
      </c>
      <c r="V255" s="1">
        <v>174.8</v>
      </c>
    </row>
    <row r="256" spans="18:22" x14ac:dyDescent="0.2">
      <c r="R256" s="5">
        <v>45632</v>
      </c>
      <c r="S256" s="1">
        <v>201.55</v>
      </c>
      <c r="U256" s="5">
        <v>45632</v>
      </c>
      <c r="V256" s="1">
        <v>173.01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Info ODFL</vt:lpstr>
      <vt:lpstr>Info JKHY</vt:lpstr>
      <vt:lpstr>Info VOO</vt:lpstr>
      <vt:lpstr>ODFL</vt:lpstr>
      <vt:lpstr>ODFL Histogram</vt:lpstr>
      <vt:lpstr>ODFL Regression</vt:lpstr>
      <vt:lpstr>ODFL Sim</vt:lpstr>
      <vt:lpstr>JKHY</vt:lpstr>
      <vt:lpstr>JKHY Histogram</vt:lpstr>
      <vt:lpstr>JKHY Regression</vt:lpstr>
      <vt:lpstr>Expected Returns</vt:lpstr>
      <vt:lpstr>JKHY Sim</vt:lpstr>
      <vt:lpstr>Portfolio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Wenzel</dc:creator>
  <cp:lastModifiedBy>Kelly Wenzel</cp:lastModifiedBy>
  <dcterms:created xsi:type="dcterms:W3CDTF">2025-12-07T17:41:19Z</dcterms:created>
  <dcterms:modified xsi:type="dcterms:W3CDTF">2025-12-08T04:14:40Z</dcterms:modified>
</cp:coreProperties>
</file>