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filterPrivacy="1"/>
  <xr:revisionPtr revIDLastSave="0" documentId="13_ncr:1_{15B0D5DB-DE84-A446-A4A2-314D4ECEEAA1}" xr6:coauthVersionLast="47" xr6:coauthVersionMax="47" xr10:uidLastSave="{00000000-0000-0000-0000-000000000000}"/>
  <bookViews>
    <workbookView xWindow="0" yWindow="740" windowWidth="29400" windowHeight="17300" activeTab="6" xr2:uid="{00000000-000D-0000-FFFF-FFFF00000000}"/>
  </bookViews>
  <sheets>
    <sheet name="Outline" sheetId="1" r:id="rId1"/>
    <sheet name="Bond Pricing" sheetId="2" r:id="rId2"/>
    <sheet name="Duration &amp; Convexity" sheetId="3" r:id="rId3"/>
    <sheet name="Immunization" sheetId="5" r:id="rId4"/>
    <sheet name="Yield Curve" sheetId="6" r:id="rId5"/>
    <sheet name="Yield Practice" sheetId="8" r:id="rId6"/>
    <sheet name="Assignment 7 " sheetId="9" r:id="rId7"/>
  </sheets>
  <definedNames>
    <definedName name="solver_adj" localSheetId="3" hidden="1">Immunization!$I$21:$I$22</definedName>
    <definedName name="solver_cvg" localSheetId="3" hidden="1">0.0001</definedName>
    <definedName name="solver_drv" localSheetId="3" hidden="1">1</definedName>
    <definedName name="solver_eng" localSheetId="3" hidden="1">1</definedName>
    <definedName name="solver_itr" localSheetId="3" hidden="1">2147483647</definedName>
    <definedName name="solver_lhs1" localSheetId="3" hidden="1">Immunization!$B$46</definedName>
    <definedName name="solver_lin" localSheetId="3" hidden="1">2</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opt" localSheetId="3" hidden="1">Immunization!$B$45</definedName>
    <definedName name="solver_pre" localSheetId="3" hidden="1">0.000001</definedName>
    <definedName name="solver_rbv" localSheetId="3" hidden="1">1</definedName>
    <definedName name="solver_rel1" localSheetId="3" hidden="1">2</definedName>
    <definedName name="solver_rhs1" localSheetId="3" hidden="1">0</definedName>
    <definedName name="solver_rlx" localSheetId="3" hidden="1">1</definedName>
    <definedName name="solver_rsd" localSheetId="3" hidden="1">0</definedName>
    <definedName name="solver_scl" localSheetId="3" hidden="1">2</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3</definedName>
    <definedName name="solver_val" localSheetId="3" hidden="1">0</definedName>
    <definedName name="solver_ver" localSheetId="3" hidden="1">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9" l="1"/>
  <c r="B43" i="6"/>
  <c r="B37" i="9"/>
  <c r="D36" i="9"/>
  <c r="E36" i="9"/>
  <c r="F36" i="9"/>
  <c r="G36" i="9"/>
  <c r="H36" i="9"/>
  <c r="I36" i="9"/>
  <c r="J36" i="9"/>
  <c r="K36" i="9"/>
  <c r="L36" i="9"/>
  <c r="M36" i="9"/>
  <c r="N36" i="9"/>
  <c r="O36" i="9"/>
  <c r="P36" i="9"/>
  <c r="Q36" i="9"/>
  <c r="R36" i="9"/>
  <c r="S36" i="9"/>
  <c r="T36" i="9"/>
  <c r="U36" i="9"/>
  <c r="V36" i="9"/>
  <c r="C36" i="9"/>
  <c r="C41" i="6"/>
  <c r="U35" i="9"/>
  <c r="Q35" i="9"/>
  <c r="T35" i="9"/>
  <c r="R35" i="9"/>
  <c r="C35" i="9"/>
  <c r="S35" i="9"/>
  <c r="O35" i="9"/>
  <c r="M35" i="9"/>
  <c r="N35" i="9"/>
  <c r="K35" i="9"/>
  <c r="I35" i="9"/>
  <c r="J35" i="9"/>
  <c r="G35" i="9"/>
  <c r="E35" i="9"/>
  <c r="V35" i="9"/>
  <c r="P35" i="9"/>
  <c r="L35" i="9"/>
  <c r="H35" i="9"/>
  <c r="F35" i="9"/>
  <c r="D35" i="9"/>
  <c r="D34" i="9"/>
  <c r="E34" i="9"/>
  <c r="F34" i="9"/>
  <c r="G34" i="9"/>
  <c r="H34" i="9"/>
  <c r="I34" i="9"/>
  <c r="J34" i="9"/>
  <c r="K34" i="9"/>
  <c r="L34" i="9"/>
  <c r="M34" i="9"/>
  <c r="N34" i="9"/>
  <c r="O34" i="9"/>
  <c r="P34" i="9"/>
  <c r="Q34" i="9"/>
  <c r="R34" i="9"/>
  <c r="S34" i="9"/>
  <c r="T34" i="9"/>
  <c r="U34" i="9"/>
  <c r="V34" i="9"/>
  <c r="C34" i="9"/>
  <c r="C39" i="6"/>
  <c r="B30" i="9"/>
  <c r="B34" i="6"/>
  <c r="C13" i="9"/>
  <c r="C14" i="9"/>
  <c r="C15" i="9"/>
  <c r="C16" i="9"/>
  <c r="C17" i="9"/>
  <c r="C18" i="9"/>
  <c r="C19" i="9"/>
  <c r="C20" i="9"/>
  <c r="C21" i="9"/>
  <c r="C22" i="9"/>
  <c r="C12" i="9"/>
  <c r="B22" i="9"/>
  <c r="B21" i="9"/>
  <c r="B20" i="9"/>
  <c r="B19" i="9"/>
  <c r="B18" i="9"/>
  <c r="B17" i="9"/>
  <c r="B16" i="9"/>
  <c r="B15" i="9"/>
  <c r="B14" i="9"/>
  <c r="B13" i="9"/>
  <c r="B12" i="9"/>
  <c r="B11" i="9"/>
  <c r="B16" i="6"/>
  <c r="B17" i="6" s="1"/>
  <c r="B42" i="6"/>
  <c r="D41" i="6"/>
  <c r="E41" i="6"/>
  <c r="F41" i="6"/>
  <c r="G41" i="6"/>
  <c r="H41" i="6"/>
  <c r="I41" i="6"/>
  <c r="J41" i="6"/>
  <c r="K41" i="6"/>
  <c r="L41" i="6"/>
  <c r="K40" i="6"/>
  <c r="I40" i="6"/>
  <c r="J40" i="6"/>
  <c r="L40" i="6"/>
  <c r="G40" i="6"/>
  <c r="H40" i="6"/>
  <c r="E40" i="6"/>
  <c r="F40" i="6"/>
  <c r="D40" i="6"/>
  <c r="C40" i="6"/>
  <c r="D39" i="6"/>
  <c r="E39" i="6"/>
  <c r="F39" i="6"/>
  <c r="G39" i="6"/>
  <c r="H39" i="6"/>
  <c r="I39" i="6"/>
  <c r="J39" i="6"/>
  <c r="K39" i="6"/>
  <c r="L39" i="6"/>
  <c r="B32" i="6"/>
  <c r="V12" i="8"/>
  <c r="X12" i="8"/>
  <c r="Y12" i="8"/>
  <c r="Z12" i="8"/>
  <c r="AA12" i="8"/>
  <c r="AB12" i="8"/>
  <c r="AC12" i="8"/>
  <c r="AD12" i="8"/>
  <c r="AE12" i="8"/>
  <c r="AF12" i="8"/>
  <c r="S12" i="8"/>
  <c r="B46" i="5"/>
  <c r="H22" i="5"/>
  <c r="B43" i="3"/>
  <c r="D42" i="3"/>
  <c r="E42" i="3"/>
  <c r="F42" i="3"/>
  <c r="G42" i="3"/>
  <c r="H42" i="3"/>
  <c r="I42" i="3"/>
  <c r="J42" i="3"/>
  <c r="K42" i="3"/>
  <c r="L42" i="3"/>
  <c r="C42" i="3"/>
  <c r="B39" i="3"/>
  <c r="B38" i="3"/>
  <c r="B22" i="3"/>
  <c r="B19" i="3"/>
  <c r="B18" i="3"/>
  <c r="B23" i="3" s="1"/>
  <c r="H21" i="5"/>
  <c r="D28" i="5"/>
  <c r="E28" i="5"/>
  <c r="F28" i="5"/>
  <c r="G28" i="5"/>
  <c r="H28" i="5"/>
  <c r="I28" i="5"/>
  <c r="J28" i="5"/>
  <c r="K28" i="5"/>
  <c r="L28" i="5"/>
  <c r="C28" i="5"/>
  <c r="D22" i="5"/>
  <c r="D21" i="5"/>
  <c r="B29" i="2"/>
  <c r="D33" i="2" s="1"/>
  <c r="B28" i="2"/>
  <c r="D27" i="2"/>
  <c r="E27" i="2"/>
  <c r="F27" i="2"/>
  <c r="G27" i="2"/>
  <c r="H27" i="2"/>
  <c r="I27" i="2"/>
  <c r="J27" i="2"/>
  <c r="K27" i="2"/>
  <c r="L27" i="2"/>
  <c r="C27" i="2"/>
  <c r="B21" i="2"/>
  <c r="J26" i="2" s="1"/>
  <c r="B19" i="2"/>
  <c r="B18" i="2"/>
  <c r="B22" i="2" s="1"/>
  <c r="C17" i="6" l="1"/>
  <c r="B27" i="6"/>
  <c r="C27" i="6" s="1"/>
  <c r="B26" i="6"/>
  <c r="C26" i="6" s="1"/>
  <c r="B25" i="6"/>
  <c r="C25" i="6" s="1"/>
  <c r="B24" i="6"/>
  <c r="C24" i="6" s="1"/>
  <c r="B23" i="6"/>
  <c r="C23" i="6" s="1"/>
  <c r="B22" i="6"/>
  <c r="C22" i="6" s="1"/>
  <c r="B21" i="6"/>
  <c r="C21" i="6" s="1"/>
  <c r="B19" i="6"/>
  <c r="C19" i="6" s="1"/>
  <c r="B20" i="6"/>
  <c r="C20" i="6" s="1"/>
  <c r="B18" i="6"/>
  <c r="C18" i="6" s="1"/>
  <c r="C34" i="5"/>
  <c r="J35" i="5"/>
  <c r="J34" i="5"/>
  <c r="J36" i="5" s="1"/>
  <c r="J39" i="5" s="1"/>
  <c r="B35" i="5"/>
  <c r="I34" i="5"/>
  <c r="H34" i="5"/>
  <c r="H36" i="5" s="1"/>
  <c r="H39" i="5" s="1"/>
  <c r="K35" i="5"/>
  <c r="G34" i="5"/>
  <c r="I35" i="5"/>
  <c r="F34" i="5"/>
  <c r="H35" i="5"/>
  <c r="B34" i="5"/>
  <c r="E34" i="5"/>
  <c r="G35" i="5"/>
  <c r="B29" i="5"/>
  <c r="I30" i="5" s="1"/>
  <c r="I31" i="5" s="1"/>
  <c r="D34" i="5"/>
  <c r="E35" i="5"/>
  <c r="K34" i="5"/>
  <c r="F35" i="5"/>
  <c r="D35" i="5"/>
  <c r="C35" i="5"/>
  <c r="G28" i="3"/>
  <c r="F28" i="3"/>
  <c r="H28" i="3"/>
  <c r="H29" i="3" s="1"/>
  <c r="F29" i="3"/>
  <c r="B31" i="3"/>
  <c r="I28" i="3"/>
  <c r="I29" i="3" s="1"/>
  <c r="G29" i="3"/>
  <c r="J28" i="3"/>
  <c r="J29" i="3" s="1"/>
  <c r="C28" i="3"/>
  <c r="C29" i="3" s="1"/>
  <c r="K28" i="3"/>
  <c r="K29" i="3" s="1"/>
  <c r="D28" i="3"/>
  <c r="D29" i="3" s="1"/>
  <c r="L28" i="3"/>
  <c r="L29" i="3" s="1"/>
  <c r="E28" i="3"/>
  <c r="E29" i="3" s="1"/>
  <c r="I26" i="2"/>
  <c r="H26" i="2"/>
  <c r="G26" i="2"/>
  <c r="F26" i="2"/>
  <c r="C26" i="2"/>
  <c r="E26" i="2"/>
  <c r="L26" i="2"/>
  <c r="D26" i="2"/>
  <c r="K26" i="2"/>
  <c r="E20" i="6" l="1"/>
  <c r="E21" i="6"/>
  <c r="E18" i="6"/>
  <c r="E25" i="6"/>
  <c r="E26" i="6"/>
  <c r="E23" i="6"/>
  <c r="E27" i="6"/>
  <c r="E22" i="6"/>
  <c r="E24" i="6"/>
  <c r="E19" i="6"/>
  <c r="B36" i="5"/>
  <c r="B39" i="5" s="1"/>
  <c r="E36" i="5"/>
  <c r="E39" i="5" s="1"/>
  <c r="C36" i="5"/>
  <c r="C39" i="5" s="1"/>
  <c r="G36" i="5"/>
  <c r="G39" i="5" s="1"/>
  <c r="I36" i="5"/>
  <c r="I39" i="5" s="1"/>
  <c r="F36" i="5"/>
  <c r="F39" i="5" s="1"/>
  <c r="K36" i="5"/>
  <c r="K39" i="5" s="1"/>
  <c r="D36" i="5"/>
  <c r="D39" i="5" s="1"/>
  <c r="C30" i="5"/>
  <c r="C31" i="5" s="1"/>
  <c r="G30" i="5"/>
  <c r="G31" i="5" s="1"/>
  <c r="D30" i="5"/>
  <c r="D31" i="5" s="1"/>
  <c r="L30" i="5"/>
  <c r="L31" i="5" s="1"/>
  <c r="E30" i="5"/>
  <c r="E31" i="5" s="1"/>
  <c r="F30" i="5"/>
  <c r="F31" i="5" s="1"/>
  <c r="J30" i="5"/>
  <c r="J31" i="5" s="1"/>
  <c r="H30" i="5"/>
  <c r="H31" i="5" s="1"/>
  <c r="K30" i="5"/>
  <c r="K31" i="5" s="1"/>
  <c r="B30" i="3"/>
  <c r="E32" i="3" s="1"/>
  <c r="E33" i="3" s="1"/>
  <c r="B40" i="5" l="1"/>
  <c r="K41" i="5" s="1"/>
  <c r="K42" i="5" s="1"/>
  <c r="B32" i="5"/>
  <c r="F32" i="3"/>
  <c r="F33" i="3" s="1"/>
  <c r="I32" i="3"/>
  <c r="I33" i="3" s="1"/>
  <c r="J32" i="3"/>
  <c r="J33" i="3" s="1"/>
  <c r="H32" i="3"/>
  <c r="H33" i="3" s="1"/>
  <c r="L32" i="3"/>
  <c r="L33" i="3" s="1"/>
  <c r="K32" i="3"/>
  <c r="K33" i="3" s="1"/>
  <c r="G32" i="3"/>
  <c r="G33" i="3" s="1"/>
  <c r="D32" i="3"/>
  <c r="D33" i="3" s="1"/>
  <c r="C32" i="3"/>
  <c r="C33" i="3" s="1"/>
  <c r="F41" i="5" l="1"/>
  <c r="F42" i="5" s="1"/>
  <c r="I41" i="5"/>
  <c r="I42" i="5" s="1"/>
  <c r="J41" i="5"/>
  <c r="J42" i="5" s="1"/>
  <c r="B45" i="5"/>
  <c r="C41" i="5"/>
  <c r="C42" i="5" s="1"/>
  <c r="H41" i="5"/>
  <c r="H42" i="5" s="1"/>
  <c r="E41" i="5"/>
  <c r="E42" i="5" s="1"/>
  <c r="B41" i="5"/>
  <c r="B42" i="5" s="1"/>
  <c r="G41" i="5"/>
  <c r="G42" i="5" s="1"/>
  <c r="D41" i="5"/>
  <c r="D42" i="5" s="1"/>
  <c r="B34" i="3"/>
  <c r="B35" i="3" s="1"/>
  <c r="B43" i="5" l="1"/>
</calcChain>
</file>

<file path=xl/sharedStrings.xml><?xml version="1.0" encoding="utf-8"?>
<sst xmlns="http://schemas.openxmlformats.org/spreadsheetml/2006/main" count="205" uniqueCount="98">
  <si>
    <t xml:space="preserve">When you value a bond, </t>
  </si>
  <si>
    <t xml:space="preserve">What are coupon payments? </t>
  </si>
  <si>
    <t xml:space="preserve">They are the interest payments made by the borrower over the course of the loan life. </t>
  </si>
  <si>
    <t xml:space="preserve">What is the Yield to Maturity (YTM)? </t>
  </si>
  <si>
    <t xml:space="preserve">If the coupon rate and the YTM are the same, the bond price will be </t>
  </si>
  <si>
    <t xml:space="preserve">Annual coupon rate: determines how much money the interval interest payments will be </t>
  </si>
  <si>
    <t xml:space="preserve">YTM: discount rate / risk </t>
  </si>
  <si>
    <t xml:space="preserve">Time to Maturity </t>
  </si>
  <si>
    <t>Face Value</t>
  </si>
  <si>
    <t>Payment Freq</t>
  </si>
  <si>
    <t xml:space="preserve">Coupon Rate </t>
  </si>
  <si>
    <t>YTM</t>
  </si>
  <si>
    <t xml:space="preserve">Period to Maturity </t>
  </si>
  <si>
    <t xml:space="preserve">Coupon Payment </t>
  </si>
  <si>
    <t xml:space="preserve">Period </t>
  </si>
  <si>
    <t>Time (Years)</t>
  </si>
  <si>
    <t xml:space="preserve">Cash Flows (CFs) </t>
  </si>
  <si>
    <t>PV of CFs</t>
  </si>
  <si>
    <t xml:space="preserve">Bond Price (Timeline) </t>
  </si>
  <si>
    <t xml:space="preserve">Bond Price (Function) </t>
  </si>
  <si>
    <t xml:space="preserve">Bond Price by YTM </t>
  </si>
  <si>
    <t xml:space="preserve">1. What is the PV of Assets and PV of Liabilities, and how do we match them? </t>
  </si>
  <si>
    <t xml:space="preserve">2. What is the duration of assets and the duration of liabilites, and how do we match them? </t>
  </si>
  <si>
    <t xml:space="preserve">Bonds </t>
  </si>
  <si>
    <t xml:space="preserve">2-Year Treasury </t>
  </si>
  <si>
    <t xml:space="preserve">5-Year Treasury </t>
  </si>
  <si>
    <t xml:space="preserve">Payment </t>
  </si>
  <si>
    <t>Coupon Rate</t>
  </si>
  <si>
    <t>Period</t>
  </si>
  <si>
    <t>Time (year)</t>
  </si>
  <si>
    <t xml:space="preserve">CF of Liability </t>
  </si>
  <si>
    <t>PV of CF</t>
  </si>
  <si>
    <t xml:space="preserve">PV of Liability </t>
  </si>
  <si>
    <t xml:space="preserve">Weight </t>
  </si>
  <si>
    <t xml:space="preserve">Weight*time </t>
  </si>
  <si>
    <t xml:space="preserve">Duration of Liability </t>
  </si>
  <si>
    <t xml:space="preserve">CF from 2 year Treasury </t>
  </si>
  <si>
    <t xml:space="preserve">CF from 5 year Treasury </t>
  </si>
  <si>
    <t xml:space="preserve">if the period is less than maturity, you'll be getting paid a coupon payment </t>
  </si>
  <si>
    <t>for multiple bonds, you have to multiply the coupon amount times the number of bonds</t>
  </si>
  <si>
    <t xml:space="preserve">if the period is at the period of maturity, you </t>
  </si>
  <si>
    <t xml:space="preserve"># of bonds to buy </t>
  </si>
  <si>
    <t xml:space="preserve">PV of CF from 5 Year Treasury </t>
  </si>
  <si>
    <t xml:space="preserve">PV of CF from 2 Year Treasury </t>
  </si>
  <si>
    <t xml:space="preserve">PV of Assets </t>
  </si>
  <si>
    <t xml:space="preserve">Weight*Time </t>
  </si>
  <si>
    <t xml:space="preserve">Duration of Assets </t>
  </si>
  <si>
    <t xml:space="preserve">Duration </t>
  </si>
  <si>
    <t xml:space="preserve">Modified Duration </t>
  </si>
  <si>
    <t xml:space="preserve">interpreted as the % change in a bond's price for a change in its YTM. </t>
  </si>
  <si>
    <t xml:space="preserve">If you're copying and pasting with spin buttons, make sure to copy/paste in the same cells the other sheet. </t>
  </si>
  <si>
    <t xml:space="preserve">Weight * Time </t>
  </si>
  <si>
    <t>Duration</t>
  </si>
  <si>
    <t>Modified Duration</t>
  </si>
  <si>
    <t>Discount Rate/Period</t>
  </si>
  <si>
    <t xml:space="preserve">If YTM increases by 1%, bond price decreases by 4.66% approximately. </t>
  </si>
  <si>
    <t>Bond Duration Using Timeline</t>
  </si>
  <si>
    <t>Bond Duration Using Functions</t>
  </si>
  <si>
    <t>Bond Convexity Using Timeline</t>
  </si>
  <si>
    <t xml:space="preserve">Weight*(time^2+time) </t>
  </si>
  <si>
    <t xml:space="preserve">Convexity </t>
  </si>
  <si>
    <t>Total Assets</t>
  </si>
  <si>
    <t xml:space="preserve">Total PV of Assets </t>
  </si>
  <si>
    <t xml:space="preserve">Diff PV </t>
  </si>
  <si>
    <t>Diff Duration</t>
  </si>
  <si>
    <t>Needs to be 0</t>
  </si>
  <si>
    <t xml:space="preserve">Needs to be 0 </t>
  </si>
  <si>
    <t>1 Mo</t>
  </si>
  <si>
    <t>1.5 Mo</t>
  </si>
  <si>
    <t>2 Mo</t>
  </si>
  <si>
    <t>3 Mo</t>
  </si>
  <si>
    <t>4 Mo</t>
  </si>
  <si>
    <t>6 Mo</t>
  </si>
  <si>
    <t>1 Yr</t>
  </si>
  <si>
    <t>2 Yr</t>
  </si>
  <si>
    <t>3 Yr</t>
  </si>
  <si>
    <t>5 Yr</t>
  </si>
  <si>
    <t>7 Yr</t>
  </si>
  <si>
    <t>10 Yr</t>
  </si>
  <si>
    <t>20 Yr</t>
  </si>
  <si>
    <t>30 Yr</t>
  </si>
  <si>
    <t>N/A</t>
  </si>
  <si>
    <t>Date</t>
  </si>
  <si>
    <t xml:space="preserve">Yield Curve Inputs </t>
  </si>
  <si>
    <t>Maturity</t>
  </si>
  <si>
    <t>Today</t>
  </si>
  <si>
    <t>Time to Maturity</t>
  </si>
  <si>
    <t xml:space="preserve">Yield Curve Rates </t>
  </si>
  <si>
    <t>Payment Frequency</t>
  </si>
  <si>
    <t>Period to Maturity</t>
  </si>
  <si>
    <t>Coupon Payment</t>
  </si>
  <si>
    <t>CFs</t>
  </si>
  <si>
    <t>Bond Price</t>
  </si>
  <si>
    <t>Implied YTM</t>
  </si>
  <si>
    <t>Forward Rates</t>
  </si>
  <si>
    <t>Most Recent Day</t>
  </si>
  <si>
    <t>Yield Curve Rates</t>
  </si>
  <si>
    <t xml:space="preserve">Bond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</si>
</sst>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0.000%"/>
    <numFmt numFmtId="166" formatCode="0.0000%"/>
    <numFmt numFmtId="167" formatCode="_(* #,##0_);_(* \(#,##0\);_(* &quot;-&quot;??_);_(@_)"/>
  </numFmts>
  <fonts count="9" x14ac:knownFonts="1">
    <font>
      <sz val="11"/>
      <color theme="1"/>
      <name val="Calibri"/>
      <family val="2"/>
      <scheme val="minor"/>
    </font>
    <font>
      <sz val="11"/>
      <color theme="1"/>
      <name val="Baskerville Old Face"/>
    </font>
    <font>
      <sz val="11"/>
      <color theme="1"/>
      <name val="Calibri"/>
      <family val="2"/>
      <scheme val="minor"/>
    </font>
    <font>
      <b/>
      <sz val="11"/>
      <color theme="1"/>
      <name val="Baskerville Old Face"/>
    </font>
    <font>
      <b/>
      <sz val="16"/>
      <color rgb="FF1B1B1B"/>
      <name val="Helvetica Neue"/>
      <family val="2"/>
    </font>
    <font>
      <sz val="11"/>
      <color rgb="FF1B1B1B"/>
      <name val="Helvetica Neue"/>
      <family val="2"/>
    </font>
    <font>
      <sz val="12"/>
      <color theme="1"/>
      <name val="Baskerville Old Face"/>
    </font>
    <font>
      <sz val="12"/>
      <color rgb="FF1B1B1B"/>
      <name val="Baskerville Old Face"/>
    </font>
    <font>
      <b/>
      <sz val="12"/>
      <color theme="1"/>
      <name val="Baskerville Old Face"/>
    </font>
  </fonts>
  <fills count="6">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7"/>
        <bgColor indexed="64"/>
      </patternFill>
    </fill>
    <fill>
      <patternFill patternType="solid">
        <fgColor theme="4" tint="0.79998168889431442"/>
        <bgColor indexed="64"/>
      </patternFill>
    </fill>
  </fills>
  <borders count="8">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49">
    <xf numFmtId="0" fontId="0" fillId="0" borderId="0" xfId="0"/>
    <xf numFmtId="0" fontId="1" fillId="0" borderId="0" xfId="0" applyFont="1"/>
    <xf numFmtId="164" fontId="1" fillId="0" borderId="0" xfId="0" applyNumberFormat="1" applyFont="1"/>
    <xf numFmtId="165" fontId="1" fillId="0" borderId="0" xfId="0" applyNumberFormat="1" applyFont="1"/>
    <xf numFmtId="0" fontId="1" fillId="0" borderId="1" xfId="0" applyFont="1" applyBorder="1"/>
    <xf numFmtId="8" fontId="1" fillId="0" borderId="0" xfId="0" applyNumberFormat="1" applyFont="1"/>
    <xf numFmtId="0" fontId="1" fillId="0" borderId="2" xfId="0" applyFont="1" applyBorder="1"/>
    <xf numFmtId="8" fontId="1" fillId="0" borderId="3" xfId="0" applyNumberFormat="1" applyFont="1" applyBorder="1"/>
    <xf numFmtId="9" fontId="1" fillId="0" borderId="4" xfId="0" applyNumberFormat="1" applyFont="1" applyBorder="1"/>
    <xf numFmtId="164" fontId="1" fillId="0" borderId="5" xfId="0" applyNumberFormat="1" applyFont="1" applyBorder="1"/>
    <xf numFmtId="9" fontId="1" fillId="0" borderId="6" xfId="0" applyNumberFormat="1" applyFont="1" applyBorder="1"/>
    <xf numFmtId="164" fontId="1" fillId="0" borderId="7" xfId="0" applyNumberFormat="1" applyFont="1" applyBorder="1"/>
    <xf numFmtId="10" fontId="0" fillId="0" borderId="0" xfId="0" applyNumberFormat="1"/>
    <xf numFmtId="9" fontId="0" fillId="0" borderId="0" xfId="0" applyNumberFormat="1"/>
    <xf numFmtId="0" fontId="0" fillId="0" borderId="1" xfId="0" applyBorder="1"/>
    <xf numFmtId="164" fontId="0" fillId="0" borderId="0" xfId="0" applyNumberFormat="1"/>
    <xf numFmtId="44" fontId="0" fillId="0" borderId="0" xfId="1" applyFont="1" applyFill="1" applyBorder="1"/>
    <xf numFmtId="8" fontId="0" fillId="0" borderId="0" xfId="0" applyNumberFormat="1"/>
    <xf numFmtId="0" fontId="0" fillId="2" borderId="0" xfId="0" applyFill="1"/>
    <xf numFmtId="8" fontId="0" fillId="2" borderId="0" xfId="0" applyNumberFormat="1" applyFill="1"/>
    <xf numFmtId="0" fontId="0" fillId="3" borderId="0" xfId="0" applyFill="1"/>
    <xf numFmtId="166" fontId="1" fillId="0" borderId="0" xfId="3" applyNumberFormat="1" applyFont="1"/>
    <xf numFmtId="0" fontId="3" fillId="0" borderId="0" xfId="0" applyFont="1"/>
    <xf numFmtId="0" fontId="1" fillId="0" borderId="0" xfId="0" applyFont="1" applyAlignment="1">
      <alignment wrapText="1"/>
    </xf>
    <xf numFmtId="2" fontId="1" fillId="0" borderId="0" xfId="0" applyNumberFormat="1" applyFont="1"/>
    <xf numFmtId="164" fontId="0" fillId="0" borderId="0" xfId="1" applyNumberFormat="1" applyFont="1"/>
    <xf numFmtId="0" fontId="0" fillId="5" borderId="0" xfId="0" applyFill="1"/>
    <xf numFmtId="167" fontId="0" fillId="4" borderId="0" xfId="2" applyNumberFormat="1" applyFont="1" applyFill="1"/>
    <xf numFmtId="0" fontId="4" fillId="0" borderId="0" xfId="0" applyFont="1"/>
    <xf numFmtId="14" fontId="5" fillId="0" borderId="0" xfId="0" applyNumberFormat="1" applyFont="1"/>
    <xf numFmtId="0" fontId="5" fillId="0" borderId="0" xfId="0" applyFont="1"/>
    <xf numFmtId="0" fontId="6" fillId="0" borderId="0" xfId="0" applyFont="1"/>
    <xf numFmtId="14" fontId="7" fillId="0" borderId="0" xfId="0" applyNumberFormat="1" applyFont="1"/>
    <xf numFmtId="0" fontId="7" fillId="0" borderId="0" xfId="0" applyFont="1"/>
    <xf numFmtId="14" fontId="6" fillId="0" borderId="0" xfId="0" applyNumberFormat="1" applyFont="1"/>
    <xf numFmtId="10" fontId="0" fillId="0" borderId="0" xfId="3" applyNumberFormat="1" applyFont="1"/>
    <xf numFmtId="9" fontId="6" fillId="0" borderId="0" xfId="0" applyNumberFormat="1" applyFont="1"/>
    <xf numFmtId="0" fontId="6" fillId="0" borderId="1" xfId="0" applyFont="1" applyBorder="1"/>
    <xf numFmtId="164" fontId="6" fillId="0" borderId="0" xfId="0" applyNumberFormat="1" applyFont="1"/>
    <xf numFmtId="10" fontId="6" fillId="0" borderId="0" xfId="0" applyNumberFormat="1" applyFont="1"/>
    <xf numFmtId="10" fontId="6" fillId="0" borderId="0" xfId="3" applyNumberFormat="1" applyFont="1"/>
    <xf numFmtId="8" fontId="6" fillId="0" borderId="0" xfId="0" applyNumberFormat="1" applyFont="1"/>
    <xf numFmtId="0" fontId="0" fillId="0" borderId="0" xfId="3" applyNumberFormat="1" applyFont="1"/>
    <xf numFmtId="10" fontId="7" fillId="0" borderId="0" xfId="3" applyNumberFormat="1" applyFont="1"/>
    <xf numFmtId="14" fontId="1" fillId="0" borderId="0" xfId="0" applyNumberFormat="1" applyFont="1"/>
    <xf numFmtId="10" fontId="1" fillId="0" borderId="0" xfId="0" applyNumberFormat="1" applyFont="1"/>
    <xf numFmtId="0" fontId="1" fillId="0" borderId="0" xfId="3" applyNumberFormat="1" applyFont="1"/>
    <xf numFmtId="44" fontId="1" fillId="0" borderId="0" xfId="1" applyFont="1"/>
    <xf numFmtId="0" fontId="8" fillId="0" borderId="1" xfId="0" applyFont="1" applyBorder="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colors>
    <mruColors>
      <color rgb="FFFECB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Bond</a:t>
            </a:r>
            <a:r>
              <a:rPr lang="en-US" baseline="0"/>
              <a:t> Price by YTM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'Bond Pricing'!$C$34:$C$43</c:f>
              <c:numCache>
                <c:formatCode>0%</c:formatCode>
                <c:ptCount val="10"/>
                <c:pt idx="0">
                  <c:v>0.01</c:v>
                </c:pt>
                <c:pt idx="1">
                  <c:v>0.02</c:v>
                </c:pt>
                <c:pt idx="2">
                  <c:v>0.03</c:v>
                </c:pt>
                <c:pt idx="3">
                  <c:v>0.04</c:v>
                </c:pt>
                <c:pt idx="4">
                  <c:v>0.05</c:v>
                </c:pt>
                <c:pt idx="5">
                  <c:v>0.06</c:v>
                </c:pt>
                <c:pt idx="6">
                  <c:v>7.0000000000000007E-2</c:v>
                </c:pt>
                <c:pt idx="7">
                  <c:v>0.08</c:v>
                </c:pt>
                <c:pt idx="8">
                  <c:v>0.09</c:v>
                </c:pt>
                <c:pt idx="9">
                  <c:v>0.1</c:v>
                </c:pt>
              </c:numCache>
            </c:numRef>
          </c:xVal>
          <c:yVal>
            <c:numRef>
              <c:f>'Bond Pricing'!$D$34:$D$43</c:f>
              <c:numCache>
                <c:formatCode>"$"#,##0.00</c:formatCode>
                <c:ptCount val="10"/>
                <c:pt idx="0">
                  <c:v>1079.0595963688859</c:v>
                </c:pt>
                <c:pt idx="1">
                  <c:v>1029.5978266584427</c:v>
                </c:pt>
                <c:pt idx="2">
                  <c:v>982.70840396527308</c:v>
                </c:pt>
                <c:pt idx="3">
                  <c:v>938.24472808208463</c:v>
                </c:pt>
                <c:pt idx="4">
                  <c:v>896.06924081972045</c:v>
                </c:pt>
                <c:pt idx="5">
                  <c:v>856.05282712940789</c:v>
                </c:pt>
                <c:pt idx="6">
                  <c:v>818.07425856860755</c:v>
                </c:pt>
                <c:pt idx="7">
                  <c:v>782.0196759298334</c:v>
                </c:pt>
                <c:pt idx="8">
                  <c:v>747.78210810461394</c:v>
                </c:pt>
                <c:pt idx="9">
                  <c:v>715.26102448631002</c:v>
                </c:pt>
              </c:numCache>
            </c:numRef>
          </c:yVal>
          <c:smooth val="1"/>
          <c:extLst>
            <c:ext xmlns:c16="http://schemas.microsoft.com/office/drawing/2014/chart" uri="{C3380CC4-5D6E-409C-BE32-E72D297353CC}">
              <c16:uniqueId val="{00000000-596C-EC46-B755-B6288684AAD4}"/>
            </c:ext>
          </c:extLst>
        </c:ser>
        <c:dLbls>
          <c:showLegendKey val="0"/>
          <c:showVal val="0"/>
          <c:showCatName val="0"/>
          <c:showSerName val="0"/>
          <c:showPercent val="0"/>
          <c:showBubbleSize val="0"/>
        </c:dLbls>
        <c:axId val="1816822815"/>
        <c:axId val="322208992"/>
      </c:scatterChart>
      <c:valAx>
        <c:axId val="1816822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08992"/>
        <c:crosses val="autoZero"/>
        <c:crossBetween val="midCat"/>
      </c:valAx>
      <c:valAx>
        <c:axId val="322208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Bond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22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a:t>
            </a:r>
            <a:r>
              <a:rPr lang="en-US" baseline="0"/>
              <a:t> Rates vs Forward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'Yield Curve'!$C$15</c:f>
              <c:strCache>
                <c:ptCount val="1"/>
                <c:pt idx="0">
                  <c:v>Time to Maturity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'Yield Curve'!$C$16:$C$27</c:f>
              <c:numCache>
                <c:formatCode>General</c:formatCode>
                <c:ptCount val="12"/>
                <c:pt idx="1">
                  <c:v>8.3333333333333329E-2</c:v>
                </c:pt>
                <c:pt idx="2">
                  <c:v>0.25</c:v>
                </c:pt>
                <c:pt idx="3">
                  <c:v>0.5</c:v>
                </c:pt>
                <c:pt idx="4">
                  <c:v>1</c:v>
                </c:pt>
                <c:pt idx="5">
                  <c:v>2</c:v>
                </c:pt>
                <c:pt idx="6">
                  <c:v>3</c:v>
                </c:pt>
                <c:pt idx="7">
                  <c:v>5</c:v>
                </c:pt>
                <c:pt idx="8">
                  <c:v>7</c:v>
                </c:pt>
                <c:pt idx="9">
                  <c:v>10</c:v>
                </c:pt>
                <c:pt idx="10">
                  <c:v>20</c:v>
                </c:pt>
                <c:pt idx="11">
                  <c:v>30</c:v>
                </c:pt>
              </c:numCache>
            </c:numRef>
          </c:val>
          <c:smooth val="0"/>
          <c:extLst>
            <c:ext xmlns:c16="http://schemas.microsoft.com/office/drawing/2014/chart" uri="{C3380CC4-5D6E-409C-BE32-E72D297353CC}">
              <c16:uniqueId val="{00000000-1587-6240-815D-8A8A1860F017}"/>
            </c:ext>
          </c:extLst>
        </c:ser>
        <c:ser>
          <c:idx val="1"/>
          <c:order val="1"/>
          <c:tx>
            <c:strRef>
              <c:f>'Yield Curve'!$D$15</c:f>
              <c:strCache>
                <c:ptCount val="1"/>
                <c:pt idx="0">
                  <c:v>Yield Curve Rates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'Yield Curve'!$D$16:$D$27</c:f>
              <c:numCache>
                <c:formatCode>General</c:formatCode>
                <c:ptCount val="12"/>
                <c:pt idx="1">
                  <c:v>4.0599999999999997E-2</c:v>
                </c:pt>
                <c:pt idx="2">
                  <c:v>3.8900000000000004E-2</c:v>
                </c:pt>
                <c:pt idx="3">
                  <c:v>3.7900000000000003E-2</c:v>
                </c:pt>
                <c:pt idx="4">
                  <c:v>3.7000000000000005E-2</c:v>
                </c:pt>
                <c:pt idx="5">
                  <c:v>3.6000000000000004E-2</c:v>
                </c:pt>
                <c:pt idx="6">
                  <c:v>3.6000000000000004E-2</c:v>
                </c:pt>
                <c:pt idx="7">
                  <c:v>3.7100000000000001E-2</c:v>
                </c:pt>
                <c:pt idx="8">
                  <c:v>3.8900000000000004E-2</c:v>
                </c:pt>
                <c:pt idx="9">
                  <c:v>4.1100000000000005E-2</c:v>
                </c:pt>
                <c:pt idx="10">
                  <c:v>4.6500000000000007E-2</c:v>
                </c:pt>
                <c:pt idx="11">
                  <c:v>4.6699999999999998E-2</c:v>
                </c:pt>
              </c:numCache>
            </c:numRef>
          </c:val>
          <c:smooth val="0"/>
          <c:extLst>
            <c:ext xmlns:c16="http://schemas.microsoft.com/office/drawing/2014/chart" uri="{C3380CC4-5D6E-409C-BE32-E72D297353CC}">
              <c16:uniqueId val="{00000001-1587-6240-815D-8A8A1860F017}"/>
            </c:ext>
          </c:extLst>
        </c:ser>
        <c:ser>
          <c:idx val="2"/>
          <c:order val="2"/>
          <c:tx>
            <c:strRef>
              <c:f>'Yield Curve'!$E$15</c:f>
              <c:strCache>
                <c:ptCount val="1"/>
                <c:pt idx="0">
                  <c:v>Forward Rates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'Yield Curve'!$E$16:$E$27</c:f>
              <c:numCache>
                <c:formatCode>General</c:formatCode>
                <c:ptCount val="12"/>
                <c:pt idx="2" formatCode="0.00%">
                  <c:v>3.8051041750204462E-2</c:v>
                </c:pt>
                <c:pt idx="3" formatCode="0.00%">
                  <c:v>3.6900962556551065E-2</c:v>
                </c:pt>
                <c:pt idx="4" formatCode="0.00%">
                  <c:v>3.6100780422005485E-2</c:v>
                </c:pt>
                <c:pt idx="5" formatCode="0.00%">
                  <c:v>3.5000964320154315E-2</c:v>
                </c:pt>
                <c:pt idx="6" formatCode="0.00%">
                  <c:v>3.6000000000000032E-2</c:v>
                </c:pt>
                <c:pt idx="7" formatCode="0.00%">
                  <c:v>3.8752190300608502E-2</c:v>
                </c:pt>
                <c:pt idx="8" formatCode="0.00%">
                  <c:v>4.3413679783816717E-2</c:v>
                </c:pt>
                <c:pt idx="9" formatCode="0.00%">
                  <c:v>4.6251467841168958E-2</c:v>
                </c:pt>
                <c:pt idx="10" formatCode="0.00%">
                  <c:v>5.192800883680726E-2</c:v>
                </c:pt>
                <c:pt idx="11" formatCode="0.00%">
                  <c:v>4.7100114675245441E-2</c:v>
                </c:pt>
              </c:numCache>
            </c:numRef>
          </c:val>
          <c:smooth val="0"/>
          <c:extLst>
            <c:ext xmlns:c16="http://schemas.microsoft.com/office/drawing/2014/chart" uri="{C3380CC4-5D6E-409C-BE32-E72D297353CC}">
              <c16:uniqueId val="{00000002-1587-6240-815D-8A8A1860F017}"/>
            </c:ext>
          </c:extLst>
        </c:ser>
        <c:dLbls>
          <c:showLegendKey val="0"/>
          <c:showVal val="0"/>
          <c:showCatName val="0"/>
          <c:showSerName val="0"/>
          <c:showPercent val="0"/>
          <c:showBubbleSize val="0"/>
        </c:dLbls>
        <c:marker val="1"/>
        <c:smooth val="0"/>
        <c:axId val="1910025711"/>
        <c:axId val="1910297471"/>
      </c:lineChart>
      <c:catAx>
        <c:axId val="191002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to Maturity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97471"/>
        <c:crosses val="autoZero"/>
        <c:auto val="1"/>
        <c:lblAlgn val="ctr"/>
        <c:lblOffset val="100"/>
        <c:noMultiLvlLbl val="0"/>
      </c:catAx>
      <c:valAx>
        <c:axId val="191029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025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5" fmlaLink="$B$15" max="30" min="1" page="10" val="5"/>
</file>

<file path=xl/ctrlProps/ctrlProp2.xml><?xml version="1.0" encoding="utf-8"?>
<formControlPr xmlns="http://schemas.microsoft.com/office/spreadsheetml/2009/9/main" objectType="Spin" dx="15" fmlaLink="$C$18" inc="5" max="30000" page="10" val="2625"/>
</file>

<file path=xl/ctrlProps/ctrlProp3.xml><?xml version="1.0" encoding="utf-8"?>
<formControlPr xmlns="http://schemas.microsoft.com/office/spreadsheetml/2009/9/main" objectType="Spin" dx="15" fmlaLink="$C$19" inc="5" max="30000" page="10" val="2627"/>
</file>

<file path=xl/ctrlProps/ctrlProp4.xml><?xml version="1.0" encoding="utf-8"?>
<formControlPr xmlns="http://schemas.microsoft.com/office/spreadsheetml/2009/9/main" objectType="Spin" dx="15" fmlaLink="$B$15" max="30" min="1" page="10" val="5"/>
</file>

<file path=xl/ctrlProps/ctrlProp5.xml><?xml version="1.0" encoding="utf-8"?>
<formControlPr xmlns="http://schemas.microsoft.com/office/spreadsheetml/2009/9/main" objectType="Spin" dx="15" fmlaLink="$C$18" inc="5" max="30000" page="10" val="2625"/>
</file>

<file path=xl/ctrlProps/ctrlProp6.xml><?xml version="1.0" encoding="utf-8"?>
<formControlPr xmlns="http://schemas.microsoft.com/office/spreadsheetml/2009/9/main" objectType="Spin" dx="15" fmlaLink="$C$19" inc="5" max="30000" page="10" val="2627"/>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9525</xdr:rowOff>
    </xdr:from>
    <xdr:to>
      <xdr:col>9</xdr:col>
      <xdr:colOff>0</xdr:colOff>
      <xdr:row>12</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19200" y="771525"/>
          <a:ext cx="4267200" cy="1514475"/>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Garamond" panose="02020404030301010803" pitchFamily="18" charset="0"/>
            </a:rPr>
            <a:t>Outline:</a:t>
          </a:r>
        </a:p>
        <a:p>
          <a:endParaRPr lang="en-US" sz="1400" b="1">
            <a:latin typeface="Garamond" panose="02020404030301010803" pitchFamily="18" charset="0"/>
          </a:endParaRPr>
        </a:p>
        <a:p>
          <a:r>
            <a:rPr lang="en-US" sz="1200">
              <a:latin typeface="Garamond" panose="02020404030301010803" pitchFamily="18" charset="0"/>
            </a:rPr>
            <a:t>Bond Pricing</a:t>
          </a:r>
        </a:p>
        <a:p>
          <a:r>
            <a:rPr lang="en-US" sz="1200">
              <a:latin typeface="Garamond" panose="02020404030301010803" pitchFamily="18" charset="0"/>
            </a:rPr>
            <a:t>Duration and Convexity</a:t>
          </a:r>
        </a:p>
        <a:p>
          <a:r>
            <a:rPr lang="en-US" sz="1200">
              <a:latin typeface="Garamond" panose="02020404030301010803" pitchFamily="18" charset="0"/>
            </a:rPr>
            <a:t>Immunization Strategy</a:t>
          </a:r>
        </a:p>
        <a:p>
          <a:r>
            <a:rPr lang="en-US" sz="1200">
              <a:latin typeface="Garamond" panose="02020404030301010803" pitchFamily="18" charset="0"/>
            </a:rPr>
            <a:t>The Yield Curve - To price a bond and to determine forward rate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190499</xdr:rowOff>
    </xdr:from>
    <xdr:to>
      <xdr:col>11</xdr:col>
      <xdr:colOff>600075</xdr:colOff>
      <xdr:row>13</xdr:row>
      <xdr:rowOff>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19125" y="190499"/>
          <a:ext cx="6686550" cy="2286001"/>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Today,</a:t>
          </a:r>
          <a:r>
            <a:rPr lang="en-US" sz="1200" baseline="0">
              <a:latin typeface="Garamond" panose="02020404030301010803" pitchFamily="18" charset="0"/>
            </a:rPr>
            <a:t> a 5-year Treasury Note with a face value of $1,000 and an annual coupon rate of 2.625% has a Yield to Maturity (YTM) of 2.627%. This bond makes 2 (semi-annual) coupon payments per year and thus has 10 periods until maturity. </a:t>
          </a:r>
        </a:p>
        <a:p>
          <a:endParaRPr lang="en-US" sz="1200" baseline="0">
            <a:latin typeface="Garamond" panose="02020404030301010803" pitchFamily="18" charset="0"/>
          </a:endParaRPr>
        </a:p>
        <a:p>
          <a:r>
            <a:rPr lang="en-US" sz="1200" baseline="0">
              <a:latin typeface="Garamond" panose="02020404030301010803" pitchFamily="18" charset="0"/>
            </a:rPr>
            <a:t>What is the price of this T-note? </a:t>
          </a:r>
          <a:endParaRPr lang="en-US" sz="1200" baseline="0">
            <a:solidFill>
              <a:schemeClr val="dk1"/>
            </a:solidFill>
            <a:latin typeface="Garamond" panose="02020404030301010803" pitchFamily="18"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latin typeface="Garamond" panose="02020404030301010803" pitchFamily="18" charset="0"/>
              <a:ea typeface="+mn-ea"/>
              <a:cs typeface="+mn-cs"/>
            </a:rPr>
            <a:t>Add Spin Buttons to all the input variables to show how a change in input variable affects bond price.</a:t>
          </a:r>
        </a:p>
        <a:p>
          <a:endParaRPr lang="en-US" sz="1200" baseline="0">
            <a:latin typeface="Garamond" panose="02020404030301010803" pitchFamily="18" charset="0"/>
          </a:endParaRPr>
        </a:p>
        <a:p>
          <a:r>
            <a:rPr lang="en-US" sz="1200" baseline="0">
              <a:latin typeface="Garamond" panose="02020404030301010803" pitchFamily="18" charset="0"/>
            </a:rPr>
            <a:t>Calculate the price using both a timeline and a function.</a:t>
          </a:r>
        </a:p>
        <a:p>
          <a:endParaRPr lang="en-US" sz="1200" baseline="0">
            <a:latin typeface="Garamond" panose="02020404030301010803" pitchFamily="18" charset="0"/>
          </a:endParaRPr>
        </a:p>
        <a:p>
          <a:r>
            <a:rPr lang="en-US" sz="1200" baseline="0">
              <a:latin typeface="Garamond" panose="02020404030301010803" pitchFamily="18" charset="0"/>
            </a:rPr>
            <a:t>Create a graph to show bond price by YTM.</a:t>
          </a:r>
        </a:p>
        <a:p>
          <a:r>
            <a:rPr lang="en-US" sz="1200" baseline="0">
              <a:latin typeface="Garamond" panose="02020404030301010803" pitchFamily="18" charset="0"/>
            </a:rPr>
            <a:t>Create a graph to show bond price by Calendar time.</a:t>
          </a:r>
        </a:p>
      </xdr:txBody>
    </xdr:sp>
    <xdr:clientData/>
  </xdr:twoCellAnchor>
  <mc:AlternateContent xmlns:mc="http://schemas.openxmlformats.org/markup-compatibility/2006">
    <mc:Choice xmlns:a14="http://schemas.microsoft.com/office/drawing/2010/main" Requires="a14">
      <xdr:twoCellAnchor>
        <xdr:from>
          <xdr:col>1</xdr:col>
          <xdr:colOff>101600</xdr:colOff>
          <xdr:row>14</xdr:row>
          <xdr:rowOff>88900</xdr:rowOff>
        </xdr:from>
        <xdr:to>
          <xdr:col>1</xdr:col>
          <xdr:colOff>469900</xdr:colOff>
          <xdr:row>14</xdr:row>
          <xdr:rowOff>571500</xdr:rowOff>
        </xdr:to>
        <xdr:sp macro="" textlink="">
          <xdr:nvSpPr>
            <xdr:cNvPr id="2049" name="Spinne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139700</xdr:colOff>
          <xdr:row>17</xdr:row>
          <xdr:rowOff>76200</xdr:rowOff>
        </xdr:from>
        <xdr:to>
          <xdr:col>1</xdr:col>
          <xdr:colOff>558800</xdr:colOff>
          <xdr:row>17</xdr:row>
          <xdr:rowOff>469900</xdr:rowOff>
        </xdr:to>
        <xdr:sp macro="" textlink="">
          <xdr:nvSpPr>
            <xdr:cNvPr id="2050" name="Spinner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88900</xdr:colOff>
          <xdr:row>18</xdr:row>
          <xdr:rowOff>76200</xdr:rowOff>
        </xdr:from>
        <xdr:to>
          <xdr:col>1</xdr:col>
          <xdr:colOff>558800</xdr:colOff>
          <xdr:row>18</xdr:row>
          <xdr:rowOff>596900</xdr:rowOff>
        </xdr:to>
        <xdr:sp macro="" textlink="">
          <xdr:nvSpPr>
            <xdr:cNvPr id="2051" name="Spinner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203434</xdr:colOff>
      <xdr:row>32</xdr:row>
      <xdr:rowOff>13090</xdr:rowOff>
    </xdr:from>
    <xdr:to>
      <xdr:col>11</xdr:col>
      <xdr:colOff>758105</xdr:colOff>
      <xdr:row>46</xdr:row>
      <xdr:rowOff>141882</xdr:rowOff>
    </xdr:to>
    <xdr:graphicFrame macro="">
      <xdr:nvGraphicFramePr>
        <xdr:cNvPr id="3" name="Chart 2">
          <a:extLst>
            <a:ext uri="{FF2B5EF4-FFF2-40B4-BE49-F238E27FC236}">
              <a16:creationId xmlns:a16="http://schemas.microsoft.com/office/drawing/2014/main" id="{50374C8E-9E99-53C2-5256-53817FEB0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609599</xdr:colOff>
      <xdr:row>1</xdr:row>
      <xdr:rowOff>0</xdr:rowOff>
    </xdr:from>
    <xdr:to>
      <xdr:col>12</xdr:col>
      <xdr:colOff>9524</xdr:colOff>
      <xdr:row>12</xdr:row>
      <xdr:rowOff>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09599" y="190500"/>
          <a:ext cx="6715125" cy="2095500"/>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Today,</a:t>
          </a:r>
          <a:r>
            <a:rPr lang="en-US" sz="1200" baseline="0">
              <a:latin typeface="Garamond" panose="02020404030301010803" pitchFamily="18" charset="0"/>
            </a:rPr>
            <a:t> a 5-year Treasury Note with a face value of $1,000 and an annual coupon rate of 2.625% has a Yield to Maturity (YTM) of 2.627%. This T-Note makes 2 (semi-annual) coupon payments per year and thus has 10 periods until maturity. </a:t>
          </a:r>
        </a:p>
        <a:p>
          <a:endParaRPr lang="en-US" sz="1200" baseline="0">
            <a:latin typeface="Garamond" panose="02020404030301010803" pitchFamily="18" charset="0"/>
          </a:endParaRPr>
        </a:p>
        <a:p>
          <a:r>
            <a:rPr lang="en-US" sz="1200" baseline="0">
              <a:latin typeface="Garamond" panose="02020404030301010803" pitchFamily="18" charset="0"/>
            </a:rPr>
            <a:t>What is the Duration, Modified Duration, and Convexity of this bond?</a:t>
          </a:r>
          <a:endParaRPr lang="en-US" sz="1200" baseline="0">
            <a:solidFill>
              <a:schemeClr val="dk1"/>
            </a:solidFill>
            <a:latin typeface="Garamond" panose="02020404030301010803" pitchFamily="18"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latin typeface="Garamond" panose="02020404030301010803" pitchFamily="18" charset="0"/>
              <a:ea typeface="+mn-ea"/>
              <a:cs typeface="+mn-cs"/>
            </a:rPr>
            <a:t>Add Spin Buttons to all the input variables to show how a change in input variable affects results.</a:t>
          </a:r>
        </a:p>
        <a:p>
          <a:endParaRPr lang="en-US" sz="1200" baseline="0">
            <a:latin typeface="Garamond" panose="02020404030301010803" pitchFamily="18" charset="0"/>
          </a:endParaRPr>
        </a:p>
        <a:p>
          <a:r>
            <a:rPr lang="en-US" sz="1200" baseline="0">
              <a:latin typeface="Garamond" panose="02020404030301010803" pitchFamily="18" charset="0"/>
            </a:rPr>
            <a:t>Calculate duration and convexity using both a timeline and a function.</a:t>
          </a:r>
        </a:p>
      </xdr:txBody>
    </xdr:sp>
    <xdr:clientData/>
  </xdr:twoCellAnchor>
  <mc:AlternateContent xmlns:mc="http://schemas.openxmlformats.org/markup-compatibility/2006">
    <mc:Choice xmlns:a14="http://schemas.microsoft.com/office/drawing/2010/main" Requires="a14">
      <xdr:twoCellAnchor>
        <xdr:from>
          <xdr:col>1</xdr:col>
          <xdr:colOff>101600</xdr:colOff>
          <xdr:row>14</xdr:row>
          <xdr:rowOff>88900</xdr:rowOff>
        </xdr:from>
        <xdr:to>
          <xdr:col>1</xdr:col>
          <xdr:colOff>469900</xdr:colOff>
          <xdr:row>14</xdr:row>
          <xdr:rowOff>571500</xdr:rowOff>
        </xdr:to>
        <xdr:sp macro="" textlink="">
          <xdr:nvSpPr>
            <xdr:cNvPr id="3073" name="Spinner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139700</xdr:colOff>
          <xdr:row>17</xdr:row>
          <xdr:rowOff>76200</xdr:rowOff>
        </xdr:from>
        <xdr:to>
          <xdr:col>1</xdr:col>
          <xdr:colOff>558800</xdr:colOff>
          <xdr:row>17</xdr:row>
          <xdr:rowOff>469900</xdr:rowOff>
        </xdr:to>
        <xdr:sp macro="" textlink="">
          <xdr:nvSpPr>
            <xdr:cNvPr id="3074" name="Spinner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88900</xdr:colOff>
          <xdr:row>18</xdr:row>
          <xdr:rowOff>76200</xdr:rowOff>
        </xdr:from>
        <xdr:to>
          <xdr:col>1</xdr:col>
          <xdr:colOff>558800</xdr:colOff>
          <xdr:row>18</xdr:row>
          <xdr:rowOff>596900</xdr:rowOff>
        </xdr:to>
        <xdr:sp macro="" textlink="">
          <xdr:nvSpPr>
            <xdr:cNvPr id="3075" name="Spinner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600075</xdr:colOff>
      <xdr:row>3</xdr:row>
      <xdr:rowOff>0</xdr:rowOff>
    </xdr:from>
    <xdr:to>
      <xdr:col>12</xdr:col>
      <xdr:colOff>9525</xdr:colOff>
      <xdr:row>17</xdr:row>
      <xdr:rowOff>9525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00075" y="571500"/>
          <a:ext cx="6724650" cy="2676525"/>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Suppose that an insurance company sells a guaranteed investment</a:t>
          </a:r>
          <a:r>
            <a:rPr lang="en-US" sz="1200" baseline="0">
              <a:latin typeface="Garamond" panose="02020404030301010803" pitchFamily="18" charset="0"/>
            </a:rPr>
            <a:t> contract (GIC) to make a $4,000,000 lump-sum payment in 3 years. The company wishes to construct a portfolio of assets to cover this single liability, such that it is immunized against interest rate risk right now.</a:t>
          </a:r>
        </a:p>
        <a:p>
          <a:endParaRPr lang="en-US" sz="1200" baseline="0">
            <a:latin typeface="Garamond" panose="02020404030301010803" pitchFamily="18" charset="0"/>
          </a:endParaRPr>
        </a:p>
        <a:p>
          <a:r>
            <a:rPr lang="en-US" sz="1200" baseline="0">
              <a:latin typeface="Garamond" panose="02020404030301010803" pitchFamily="18" charset="0"/>
            </a:rPr>
            <a:t>The company is considering investing in two bonds:</a:t>
          </a:r>
        </a:p>
        <a:p>
          <a:r>
            <a:rPr lang="en-US" sz="1100" baseline="0">
              <a:solidFill>
                <a:schemeClr val="dk1"/>
              </a:solidFill>
              <a:effectLst/>
              <a:latin typeface="Garamond" panose="02020404030301010803" pitchFamily="18" charset="0"/>
              <a:ea typeface="+mn-ea"/>
              <a:cs typeface="+mn-cs"/>
            </a:rPr>
            <a:t>(1) A 2-year Treasury bond with a face value of $1,000 and an annual coupon rate of 2.25%. </a:t>
          </a:r>
          <a:endParaRPr lang="en-US" sz="1200">
            <a:effectLst/>
            <a:latin typeface="Garamond" panose="02020404030301010803" pitchFamily="18" charset="0"/>
          </a:endParaRPr>
        </a:p>
        <a:p>
          <a:r>
            <a:rPr lang="en-US" sz="1100" baseline="0">
              <a:solidFill>
                <a:schemeClr val="dk1"/>
              </a:solidFill>
              <a:effectLst/>
              <a:latin typeface="Garamond" panose="02020404030301010803" pitchFamily="18" charset="0"/>
              <a:ea typeface="+mn-ea"/>
              <a:cs typeface="+mn-cs"/>
            </a:rPr>
            <a:t>(2) A 5-year Treasury bond with a face value of $1,000 and an annual coupon rate of 3%. </a:t>
          </a:r>
          <a:endParaRPr lang="en-US" sz="1200">
            <a:effectLst/>
            <a:latin typeface="Garamond" panose="02020404030301010803" pitchFamily="18" charset="0"/>
          </a:endParaRPr>
        </a:p>
        <a:p>
          <a:r>
            <a:rPr lang="en-US" sz="1100" baseline="0">
              <a:solidFill>
                <a:schemeClr val="dk1"/>
              </a:solidFill>
              <a:effectLst/>
              <a:latin typeface="Garamond" panose="02020404030301010803" pitchFamily="18" charset="0"/>
              <a:ea typeface="+mn-ea"/>
              <a:cs typeface="+mn-cs"/>
            </a:rPr>
            <a:t>Both bonds make 2 (semi-annual) coupon payments per year. Thus they have 4 periods until maturity and 10 periods until maturity, repsectively. Assume the current yield on all bonds is 2.6%.</a:t>
          </a:r>
          <a:endParaRPr lang="en-US" sz="1200">
            <a:effectLst/>
            <a:latin typeface="Garamond" panose="02020404030301010803" pitchFamily="18" charset="0"/>
          </a:endParaRPr>
        </a:p>
        <a:p>
          <a:endParaRPr lang="en-US" sz="1200" baseline="0">
            <a:latin typeface="Garamond" panose="02020404030301010803" pitchFamily="18" charset="0"/>
          </a:endParaRPr>
        </a:p>
        <a:p>
          <a:r>
            <a:rPr lang="en-US" sz="1200" baseline="0">
              <a:latin typeface="Garamond" panose="02020404030301010803" pitchFamily="18" charset="0"/>
            </a:rPr>
            <a:t>How many 2-year and 5-year Treasury Notes should the insurance company buy in order to fully fund the liability and be immunized against interest rate risk right now?</a:t>
          </a:r>
          <a:endParaRPr lang="en-US" sz="1200">
            <a:latin typeface="Garamond" panose="02020404030301010803"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609599</xdr:colOff>
      <xdr:row>3</xdr:row>
      <xdr:rowOff>0</xdr:rowOff>
    </xdr:from>
    <xdr:to>
      <xdr:col>10</xdr:col>
      <xdr:colOff>9525</xdr:colOff>
      <xdr:row>13</xdr:row>
      <xdr:rowOff>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09599" y="571500"/>
          <a:ext cx="5495926" cy="1905000"/>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Obtain current US</a:t>
          </a:r>
          <a:r>
            <a:rPr lang="en-US" sz="1200" baseline="0">
              <a:latin typeface="Garamond" panose="02020404030301010803" pitchFamily="18" charset="0"/>
            </a:rPr>
            <a:t> Treasury Yield Curve Rates from Department of Treasury website.</a:t>
          </a:r>
        </a:p>
        <a:p>
          <a:r>
            <a:rPr lang="en-US" sz="1200" baseline="0">
              <a:latin typeface="Garamond" panose="02020404030301010803" pitchFamily="18" charset="0"/>
            </a:rPr>
            <a:t>Create the yield curve graph. </a:t>
          </a:r>
        </a:p>
        <a:p>
          <a:endParaRPr lang="en-US" sz="1200" baseline="0">
            <a:latin typeface="Garamond" panose="02020404030301010803" pitchFamily="18" charset="0"/>
          </a:endParaRPr>
        </a:p>
        <a:p>
          <a:r>
            <a:rPr lang="en-US" sz="1200" baseline="0">
              <a:latin typeface="Garamond" panose="02020404030301010803" pitchFamily="18" charset="0"/>
            </a:rPr>
            <a:t>Use the yield curve information to price a 5-year bond.  Consider a coupon bond has a face value of $1,000, an annual coupon rate of 5%, makes 2 (semiannual) coupon payemnts per year, and 10 periods to maturity (5 years to maturity). What is price and YTM of this coupon bond?</a:t>
          </a:r>
        </a:p>
        <a:p>
          <a:endParaRPr lang="en-US" sz="1200" baseline="0">
            <a:latin typeface="Garamond" panose="02020404030301010803" pitchFamily="18" charset="0"/>
          </a:endParaRPr>
        </a:p>
        <a:p>
          <a:r>
            <a:rPr lang="en-US" sz="1200" baseline="0">
              <a:latin typeface="Garamond" panose="02020404030301010803" pitchFamily="18" charset="0"/>
            </a:rPr>
            <a:t>Use the yield curve information to calculate the implied forward rates at all maturities. Add forward rates on the yield curve graph.</a:t>
          </a:r>
          <a:endParaRPr lang="en-US" sz="1200">
            <a:latin typeface="Garamond" panose="02020404030301010803" pitchFamily="18" charset="0"/>
          </a:endParaRPr>
        </a:p>
      </xdr:txBody>
    </xdr:sp>
    <xdr:clientData/>
  </xdr:twoCellAnchor>
  <xdr:twoCellAnchor>
    <xdr:from>
      <xdr:col>6</xdr:col>
      <xdr:colOff>571500</xdr:colOff>
      <xdr:row>15</xdr:row>
      <xdr:rowOff>57150</xdr:rowOff>
    </xdr:from>
    <xdr:to>
      <xdr:col>13</xdr:col>
      <xdr:colOff>342900</xdr:colOff>
      <xdr:row>28</xdr:row>
      <xdr:rowOff>158750</xdr:rowOff>
    </xdr:to>
    <xdr:graphicFrame macro="">
      <xdr:nvGraphicFramePr>
        <xdr:cNvPr id="3" name="Chart 2">
          <a:extLst>
            <a:ext uri="{FF2B5EF4-FFF2-40B4-BE49-F238E27FC236}">
              <a16:creationId xmlns:a16="http://schemas.microsoft.com/office/drawing/2014/main" id="{15921AF0-48AB-B454-495E-67FC59166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1</xdr:row>
      <xdr:rowOff>0</xdr:rowOff>
    </xdr:from>
    <xdr:to>
      <xdr:col>7</xdr:col>
      <xdr:colOff>266700</xdr:colOff>
      <xdr:row>7</xdr:row>
      <xdr:rowOff>53662</xdr:rowOff>
    </xdr:to>
    <xdr:sp macro="" textlink="">
      <xdr:nvSpPr>
        <xdr:cNvPr id="2" name="TextBox 1">
          <a:extLst>
            <a:ext uri="{FF2B5EF4-FFF2-40B4-BE49-F238E27FC236}">
              <a16:creationId xmlns:a16="http://schemas.microsoft.com/office/drawing/2014/main" id="{421DF4C7-551C-B11E-0B4C-379FCD81CFD7}"/>
            </a:ext>
          </a:extLst>
        </xdr:cNvPr>
        <xdr:cNvSpPr txBox="1"/>
      </xdr:nvSpPr>
      <xdr:spPr>
        <a:xfrm>
          <a:off x="860917" y="187817"/>
          <a:ext cx="5165501" cy="1180563"/>
        </a:xfrm>
        <a:prstGeom prst="rect">
          <a:avLst/>
        </a:prstGeom>
        <a:solidFill>
          <a:srgbClr val="FECB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Baskerville Old Face" panose="02020602080505020303" pitchFamily="18" charset="77"/>
              <a:ea typeface="+mn-ea"/>
              <a:cs typeface="+mn-cs"/>
            </a:rPr>
            <a:t>Obtain the </a:t>
          </a:r>
          <a:r>
            <a:rPr lang="en-US" sz="1100" b="1" i="0">
              <a:solidFill>
                <a:schemeClr val="dk1"/>
              </a:solidFill>
              <a:effectLst/>
              <a:latin typeface="Baskerville Old Face" panose="02020602080505020303" pitchFamily="18" charset="77"/>
              <a:ea typeface="+mn-ea"/>
              <a:cs typeface="+mn-cs"/>
            </a:rPr>
            <a:t>latest</a:t>
          </a:r>
          <a:r>
            <a:rPr lang="en-US" sz="1100" b="0" i="0">
              <a:solidFill>
                <a:schemeClr val="dk1"/>
              </a:solidFill>
              <a:effectLst/>
              <a:latin typeface="Baskerville Old Face" panose="02020602080505020303" pitchFamily="18" charset="77"/>
              <a:ea typeface="+mn-ea"/>
              <a:cs typeface="+mn-cs"/>
            </a:rPr>
            <a:t> yield curve rates from US Department of Treasury website. Use these yield curve rates</a:t>
          </a:r>
          <a:r>
            <a:rPr lang="en-US" sz="1100" b="1" i="0">
              <a:solidFill>
                <a:schemeClr val="dk1"/>
              </a:solidFill>
              <a:effectLst/>
              <a:latin typeface="Baskerville Old Face" panose="02020602080505020303" pitchFamily="18" charset="77"/>
              <a:ea typeface="+mn-ea"/>
              <a:cs typeface="+mn-cs"/>
            </a:rPr>
            <a:t>, price a 10-year bond with $1000 face value, 4.6% coupon rate with semi-annual coupon payments.</a:t>
          </a:r>
          <a:r>
            <a:rPr lang="en-US" sz="1100" b="0" i="0">
              <a:solidFill>
                <a:schemeClr val="dk1"/>
              </a:solidFill>
              <a:effectLst/>
              <a:latin typeface="Baskerville Old Face" panose="02020602080505020303" pitchFamily="18" charset="77"/>
              <a:ea typeface="+mn-ea"/>
              <a:cs typeface="+mn-cs"/>
            </a:rPr>
            <a:t> Therefore, this bond will have 20 periods to maturity. When yield curve rates are not available in between two periods, use simply linear extrapolation. For example, year 8's interest rate can be the average of Year 6's and Year 10's interest rates. After you price the bond, calculate the implied YTM of this bond. </a:t>
          </a:r>
          <a:endParaRPr lang="en-US" sz="1100">
            <a:latin typeface="Baskerville Old Face" panose="02020602080505020303" pitchFamily="18" charset="77"/>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3.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3" zoomScale="120" zoomScaleNormal="120" workbookViewId="0">
      <selection activeCell="A16" sqref="A16"/>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43"/>
  <sheetViews>
    <sheetView zoomScale="58" workbookViewId="0">
      <selection activeCell="A15" sqref="A15:L29"/>
    </sheetView>
  </sheetViews>
  <sheetFormatPr baseColWidth="10" defaultColWidth="8.83203125" defaultRowHeight="15" x14ac:dyDescent="0.2"/>
  <cols>
    <col min="1" max="1" width="19.6640625" style="1" customWidth="1"/>
    <col min="2" max="2" width="17.1640625" style="1" customWidth="1"/>
    <col min="3" max="11" width="8.83203125" style="1"/>
    <col min="12" max="12" width="10.1640625" style="1" customWidth="1"/>
    <col min="13" max="16384" width="8.83203125" style="1"/>
  </cols>
  <sheetData>
    <row r="2" spans="1:14" x14ac:dyDescent="0.2">
      <c r="N2" s="1" t="s">
        <v>0</v>
      </c>
    </row>
    <row r="4" spans="1:14" x14ac:dyDescent="0.2">
      <c r="N4" s="1" t="s">
        <v>1</v>
      </c>
    </row>
    <row r="5" spans="1:14" x14ac:dyDescent="0.2">
      <c r="N5" s="1" t="s">
        <v>2</v>
      </c>
    </row>
    <row r="7" spans="1:14" x14ac:dyDescent="0.2">
      <c r="N7" s="1" t="s">
        <v>3</v>
      </c>
    </row>
    <row r="10" spans="1:14" x14ac:dyDescent="0.2">
      <c r="N10" s="1" t="s">
        <v>4</v>
      </c>
    </row>
    <row r="12" spans="1:14" x14ac:dyDescent="0.2">
      <c r="N12" s="1" t="s">
        <v>5</v>
      </c>
    </row>
    <row r="13" spans="1:14" x14ac:dyDescent="0.2">
      <c r="N13" s="1" t="s">
        <v>6</v>
      </c>
    </row>
    <row r="15" spans="1:14" ht="46" customHeight="1" x14ac:dyDescent="0.2">
      <c r="A15" s="1" t="s">
        <v>7</v>
      </c>
      <c r="B15" s="1">
        <v>5</v>
      </c>
    </row>
    <row r="16" spans="1:14" x14ac:dyDescent="0.2">
      <c r="A16" s="1" t="s">
        <v>8</v>
      </c>
      <c r="B16" s="2">
        <v>1000</v>
      </c>
    </row>
    <row r="17" spans="1:12" x14ac:dyDescent="0.2">
      <c r="A17" s="1" t="s">
        <v>9</v>
      </c>
      <c r="B17" s="1">
        <v>2</v>
      </c>
    </row>
    <row r="18" spans="1:12" ht="41" customHeight="1" x14ac:dyDescent="0.2">
      <c r="A18" s="1" t="s">
        <v>10</v>
      </c>
      <c r="B18" s="3">
        <f>C18/100000</f>
        <v>2.6249999999999999E-2</v>
      </c>
      <c r="C18" s="1">
        <v>2625</v>
      </c>
    </row>
    <row r="19" spans="1:12" ht="52" customHeight="1" x14ac:dyDescent="0.2">
      <c r="A19" s="1" t="s">
        <v>11</v>
      </c>
      <c r="B19" s="3">
        <f>C19/100000</f>
        <v>2.6270000000000002E-2</v>
      </c>
      <c r="C19" s="1">
        <v>2627</v>
      </c>
    </row>
    <row r="21" spans="1:12" x14ac:dyDescent="0.2">
      <c r="A21" s="1" t="s">
        <v>12</v>
      </c>
      <c r="B21" s="1">
        <f>B15*2</f>
        <v>10</v>
      </c>
    </row>
    <row r="22" spans="1:12" x14ac:dyDescent="0.2">
      <c r="A22" s="1" t="s">
        <v>13</v>
      </c>
      <c r="B22" s="2">
        <f>B16*B18/B17</f>
        <v>13.125</v>
      </c>
    </row>
    <row r="24" spans="1:12" x14ac:dyDescent="0.2">
      <c r="A24" s="1" t="s">
        <v>14</v>
      </c>
      <c r="B24" s="1">
        <v>0</v>
      </c>
      <c r="C24" s="1">
        <v>1</v>
      </c>
      <c r="D24" s="1">
        <v>2</v>
      </c>
      <c r="E24" s="1">
        <v>3</v>
      </c>
      <c r="F24" s="1">
        <v>4</v>
      </c>
      <c r="G24" s="1">
        <v>5</v>
      </c>
      <c r="H24" s="1">
        <v>6</v>
      </c>
      <c r="I24" s="1">
        <v>7</v>
      </c>
      <c r="J24" s="1">
        <v>8</v>
      </c>
      <c r="K24" s="1">
        <v>9</v>
      </c>
      <c r="L24" s="1">
        <v>10</v>
      </c>
    </row>
    <row r="25" spans="1:12" x14ac:dyDescent="0.2">
      <c r="A25" s="4" t="s">
        <v>15</v>
      </c>
      <c r="B25" s="4">
        <v>0</v>
      </c>
      <c r="C25" s="4">
        <v>0.5</v>
      </c>
      <c r="D25" s="4">
        <v>1</v>
      </c>
      <c r="E25" s="4">
        <v>1.5</v>
      </c>
      <c r="F25" s="4">
        <v>2</v>
      </c>
      <c r="G25" s="4">
        <v>2.5</v>
      </c>
      <c r="H25" s="4">
        <v>3</v>
      </c>
      <c r="I25" s="4">
        <v>3.5</v>
      </c>
      <c r="J25" s="4">
        <v>4</v>
      </c>
      <c r="K25" s="4">
        <v>4.5</v>
      </c>
      <c r="L25" s="4">
        <v>5</v>
      </c>
    </row>
    <row r="26" spans="1:12" x14ac:dyDescent="0.2">
      <c r="A26" s="1" t="s">
        <v>16</v>
      </c>
      <c r="C26" s="2">
        <f>IF(C24&lt;$B$21,$B$22, $B$16+$B$22)</f>
        <v>13.125</v>
      </c>
      <c r="D26" s="2">
        <f t="shared" ref="D26:L26" si="0">IF(D24&lt;$B$21,$B$22, $B$16+$B$22)</f>
        <v>13.125</v>
      </c>
      <c r="E26" s="2">
        <f t="shared" si="0"/>
        <v>13.125</v>
      </c>
      <c r="F26" s="2">
        <f t="shared" si="0"/>
        <v>13.125</v>
      </c>
      <c r="G26" s="2">
        <f t="shared" si="0"/>
        <v>13.125</v>
      </c>
      <c r="H26" s="2">
        <f t="shared" si="0"/>
        <v>13.125</v>
      </c>
      <c r="I26" s="2">
        <f t="shared" si="0"/>
        <v>13.125</v>
      </c>
      <c r="J26" s="2">
        <f t="shared" si="0"/>
        <v>13.125</v>
      </c>
      <c r="K26" s="2">
        <f t="shared" si="0"/>
        <v>13.125</v>
      </c>
      <c r="L26" s="2">
        <f t="shared" si="0"/>
        <v>1013.125</v>
      </c>
    </row>
    <row r="27" spans="1:12" x14ac:dyDescent="0.2">
      <c r="A27" s="1" t="s">
        <v>17</v>
      </c>
      <c r="C27" s="5">
        <f>-PV($B$19/$B$17,C24,0,C26,0)</f>
        <v>12.95483820023985</v>
      </c>
      <c r="D27" s="5">
        <f t="shared" ref="D27:L27" si="1">-PV($B$19/$B$17,D24,0,D26,0)</f>
        <v>12.786882498620471</v>
      </c>
      <c r="E27" s="5">
        <f t="shared" si="1"/>
        <v>12.62110429372243</v>
      </c>
      <c r="F27" s="5">
        <f t="shared" si="1"/>
        <v>12.457475354935356</v>
      </c>
      <c r="G27" s="5">
        <f t="shared" si="1"/>
        <v>12.295967817650517</v>
      </c>
      <c r="H27" s="5">
        <f t="shared" si="1"/>
        <v>12.136554178515714</v>
      </c>
      <c r="I27" s="5">
        <f t="shared" si="1"/>
        <v>11.979207290751692</v>
      </c>
      <c r="J27" s="5">
        <f t="shared" si="1"/>
        <v>11.823900359529278</v>
      </c>
      <c r="K27" s="5">
        <f t="shared" si="1"/>
        <v>11.670606937406445</v>
      </c>
      <c r="L27" s="5">
        <f t="shared" si="1"/>
        <v>889.18032338264732</v>
      </c>
    </row>
    <row r="28" spans="1:12" x14ac:dyDescent="0.2">
      <c r="A28" s="1" t="s">
        <v>18</v>
      </c>
      <c r="B28" s="5">
        <f>SUM(C27:L27)</f>
        <v>999.90686031401901</v>
      </c>
      <c r="C28" s="5"/>
      <c r="D28" s="5"/>
      <c r="E28" s="5"/>
      <c r="F28" s="5"/>
      <c r="G28" s="5"/>
      <c r="H28" s="5"/>
      <c r="I28" s="5"/>
      <c r="J28" s="5"/>
      <c r="K28" s="5"/>
      <c r="L28" s="5"/>
    </row>
    <row r="29" spans="1:12" x14ac:dyDescent="0.2">
      <c r="A29" s="1" t="s">
        <v>19</v>
      </c>
      <c r="B29" s="5">
        <f>-PV(B19/B17,B21,B22,B16,0)</f>
        <v>999.90686031401822</v>
      </c>
    </row>
    <row r="33" spans="2:4" x14ac:dyDescent="0.2">
      <c r="C33" s="6"/>
      <c r="D33" s="7">
        <f>B29</f>
        <v>999.90686031401822</v>
      </c>
    </row>
    <row r="34" spans="2:4" x14ac:dyDescent="0.2">
      <c r="B34" s="1" t="s">
        <v>20</v>
      </c>
      <c r="C34" s="8">
        <v>0.01</v>
      </c>
      <c r="D34" s="9">
        <f t="dataTable" ref="D34:D43" dt2D="0" dtr="0" r1="B19"/>
        <v>1079.0595963688859</v>
      </c>
    </row>
    <row r="35" spans="2:4" x14ac:dyDescent="0.2">
      <c r="C35" s="8">
        <v>0.02</v>
      </c>
      <c r="D35" s="9">
        <v>1029.5978266584427</v>
      </c>
    </row>
    <row r="36" spans="2:4" x14ac:dyDescent="0.2">
      <c r="C36" s="8">
        <v>0.03</v>
      </c>
      <c r="D36" s="9">
        <v>982.70840396527308</v>
      </c>
    </row>
    <row r="37" spans="2:4" x14ac:dyDescent="0.2">
      <c r="C37" s="8">
        <v>0.04</v>
      </c>
      <c r="D37" s="9">
        <v>938.24472808208463</v>
      </c>
    </row>
    <row r="38" spans="2:4" x14ac:dyDescent="0.2">
      <c r="C38" s="8">
        <v>0.05</v>
      </c>
      <c r="D38" s="9">
        <v>896.06924081972045</v>
      </c>
    </row>
    <row r="39" spans="2:4" x14ac:dyDescent="0.2">
      <c r="C39" s="8">
        <v>0.06</v>
      </c>
      <c r="D39" s="9">
        <v>856.05282712940789</v>
      </c>
    </row>
    <row r="40" spans="2:4" x14ac:dyDescent="0.2">
      <c r="C40" s="8">
        <v>7.0000000000000007E-2</v>
      </c>
      <c r="D40" s="9">
        <v>818.07425856860755</v>
      </c>
    </row>
    <row r="41" spans="2:4" x14ac:dyDescent="0.2">
      <c r="C41" s="8">
        <v>0.08</v>
      </c>
      <c r="D41" s="9">
        <v>782.0196759298334</v>
      </c>
    </row>
    <row r="42" spans="2:4" x14ac:dyDescent="0.2">
      <c r="C42" s="8">
        <v>0.09</v>
      </c>
      <c r="D42" s="9">
        <v>747.78210810461394</v>
      </c>
    </row>
    <row r="43" spans="2:4" x14ac:dyDescent="0.2">
      <c r="C43" s="10">
        <v>0.1</v>
      </c>
      <c r="D43" s="11">
        <v>715.26102448631002</v>
      </c>
    </row>
  </sheetData>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Spinner 1">
              <controlPr defaultSize="0" autoPict="0">
                <anchor moveWithCells="1" sizeWithCells="1">
                  <from>
                    <xdr:col>1</xdr:col>
                    <xdr:colOff>101600</xdr:colOff>
                    <xdr:row>14</xdr:row>
                    <xdr:rowOff>88900</xdr:rowOff>
                  </from>
                  <to>
                    <xdr:col>1</xdr:col>
                    <xdr:colOff>469900</xdr:colOff>
                    <xdr:row>14</xdr:row>
                    <xdr:rowOff>571500</xdr:rowOff>
                  </to>
                </anchor>
              </controlPr>
            </control>
          </mc:Choice>
        </mc:AlternateContent>
        <mc:AlternateContent xmlns:mc="http://schemas.openxmlformats.org/markup-compatibility/2006">
          <mc:Choice Requires="x14">
            <control shapeId="2050" r:id="rId5" name="Spinner 2">
              <controlPr defaultSize="0" autoPict="0">
                <anchor moveWithCells="1" sizeWithCells="1">
                  <from>
                    <xdr:col>1</xdr:col>
                    <xdr:colOff>139700</xdr:colOff>
                    <xdr:row>17</xdr:row>
                    <xdr:rowOff>76200</xdr:rowOff>
                  </from>
                  <to>
                    <xdr:col>1</xdr:col>
                    <xdr:colOff>558800</xdr:colOff>
                    <xdr:row>17</xdr:row>
                    <xdr:rowOff>469900</xdr:rowOff>
                  </to>
                </anchor>
              </controlPr>
            </control>
          </mc:Choice>
        </mc:AlternateContent>
        <mc:AlternateContent xmlns:mc="http://schemas.openxmlformats.org/markup-compatibility/2006">
          <mc:Choice Requires="x14">
            <control shapeId="2051" r:id="rId6" name="Spinner 3">
              <controlPr defaultSize="0" autoPict="0">
                <anchor moveWithCells="1" sizeWithCells="1">
                  <from>
                    <xdr:col>1</xdr:col>
                    <xdr:colOff>88900</xdr:colOff>
                    <xdr:row>18</xdr:row>
                    <xdr:rowOff>76200</xdr:rowOff>
                  </from>
                  <to>
                    <xdr:col>1</xdr:col>
                    <xdr:colOff>558800</xdr:colOff>
                    <xdr:row>18</xdr:row>
                    <xdr:rowOff>596900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43"/>
  <sheetViews>
    <sheetView topLeftCell="A4" zoomScale="143" workbookViewId="0">
      <selection activeCell="E45" sqref="E45"/>
    </sheetView>
  </sheetViews>
  <sheetFormatPr baseColWidth="10" defaultColWidth="8.83203125" defaultRowHeight="15" x14ac:dyDescent="0.2"/>
  <cols>
    <col min="1" max="1" width="18.83203125" style="1" bestFit="1" customWidth="1"/>
    <col min="2" max="2" width="11.6640625" style="1" bestFit="1" customWidth="1"/>
    <col min="3" max="13" width="8.83203125" style="1"/>
    <col min="14" max="14" width="15.5" style="1" bestFit="1" customWidth="1"/>
    <col min="15" max="15" width="24.83203125" style="1" customWidth="1"/>
    <col min="16" max="16384" width="8.83203125" style="1"/>
  </cols>
  <sheetData>
    <row r="2" spans="1:15" x14ac:dyDescent="0.2">
      <c r="N2" s="1" t="s">
        <v>47</v>
      </c>
    </row>
    <row r="3" spans="1:15" ht="48" x14ac:dyDescent="0.2">
      <c r="N3" s="1" t="s">
        <v>48</v>
      </c>
      <c r="O3" s="23" t="s">
        <v>49</v>
      </c>
    </row>
    <row r="5" spans="1:15" x14ac:dyDescent="0.2">
      <c r="N5" s="1" t="s">
        <v>50</v>
      </c>
    </row>
    <row r="15" spans="1:15" ht="58" customHeight="1" x14ac:dyDescent="0.2">
      <c r="A15" s="1" t="s">
        <v>7</v>
      </c>
      <c r="B15" s="1">
        <v>5</v>
      </c>
    </row>
    <row r="16" spans="1:15" x14ac:dyDescent="0.2">
      <c r="A16" s="1" t="s">
        <v>8</v>
      </c>
      <c r="B16" s="2">
        <v>1000</v>
      </c>
    </row>
    <row r="17" spans="1:12" x14ac:dyDescent="0.2">
      <c r="A17" s="1" t="s">
        <v>9</v>
      </c>
      <c r="B17" s="1">
        <v>2</v>
      </c>
    </row>
    <row r="18" spans="1:12" ht="54" customHeight="1" x14ac:dyDescent="0.2">
      <c r="A18" s="1" t="s">
        <v>10</v>
      </c>
      <c r="B18" s="3">
        <f>C18/100000</f>
        <v>2.6249999999999999E-2</v>
      </c>
      <c r="C18" s="1">
        <v>2625</v>
      </c>
    </row>
    <row r="19" spans="1:12" ht="65" customHeight="1" x14ac:dyDescent="0.2">
      <c r="A19" s="1" t="s">
        <v>11</v>
      </c>
      <c r="B19" s="3">
        <f>C19/100000</f>
        <v>2.6270000000000002E-2</v>
      </c>
      <c r="C19" s="1">
        <v>2627</v>
      </c>
    </row>
    <row r="21" spans="1:12" x14ac:dyDescent="0.2">
      <c r="A21" s="22" t="s">
        <v>56</v>
      </c>
    </row>
    <row r="22" spans="1:12" x14ac:dyDescent="0.2">
      <c r="A22" s="1" t="s">
        <v>12</v>
      </c>
      <c r="B22" s="1">
        <f>B15*2</f>
        <v>10</v>
      </c>
    </row>
    <row r="23" spans="1:12" x14ac:dyDescent="0.2">
      <c r="A23" s="1" t="s">
        <v>13</v>
      </c>
      <c r="B23" s="2">
        <f>B16*B18/B17</f>
        <v>13.125</v>
      </c>
    </row>
    <row r="24" spans="1:12" x14ac:dyDescent="0.2">
      <c r="A24" s="1" t="s">
        <v>54</v>
      </c>
      <c r="B24" s="21">
        <v>1.3135000000000001E-2</v>
      </c>
    </row>
    <row r="26" spans="1:12" x14ac:dyDescent="0.2">
      <c r="A26" s="1" t="s">
        <v>14</v>
      </c>
      <c r="B26" s="1">
        <v>0</v>
      </c>
      <c r="C26" s="1">
        <v>1</v>
      </c>
      <c r="D26" s="1">
        <v>2</v>
      </c>
      <c r="E26" s="1">
        <v>3</v>
      </c>
      <c r="F26" s="1">
        <v>4</v>
      </c>
      <c r="G26" s="1">
        <v>5</v>
      </c>
      <c r="H26" s="1">
        <v>6</v>
      </c>
      <c r="I26" s="1">
        <v>7</v>
      </c>
      <c r="J26" s="1">
        <v>8</v>
      </c>
      <c r="K26" s="1">
        <v>9</v>
      </c>
      <c r="L26" s="1">
        <v>10</v>
      </c>
    </row>
    <row r="27" spans="1:12" x14ac:dyDescent="0.2">
      <c r="A27" s="4" t="s">
        <v>15</v>
      </c>
      <c r="B27" s="4">
        <v>0</v>
      </c>
      <c r="C27" s="4">
        <v>0.5</v>
      </c>
      <c r="D27" s="4">
        <v>1</v>
      </c>
      <c r="E27" s="4">
        <v>1.5</v>
      </c>
      <c r="F27" s="4">
        <v>2</v>
      </c>
      <c r="G27" s="4">
        <v>2.5</v>
      </c>
      <c r="H27" s="4">
        <v>3</v>
      </c>
      <c r="I27" s="4">
        <v>3.5</v>
      </c>
      <c r="J27" s="4">
        <v>4</v>
      </c>
      <c r="K27" s="4">
        <v>4.5</v>
      </c>
      <c r="L27" s="4">
        <v>5</v>
      </c>
    </row>
    <row r="28" spans="1:12" x14ac:dyDescent="0.2">
      <c r="A28" s="1" t="s">
        <v>16</v>
      </c>
      <c r="C28" s="2">
        <f t="shared" ref="C28:L28" si="0">IF(C26&lt;$B$22,$B$23, $B$16+$B$23)</f>
        <v>13.125</v>
      </c>
      <c r="D28" s="2">
        <f t="shared" si="0"/>
        <v>13.125</v>
      </c>
      <c r="E28" s="2">
        <f t="shared" si="0"/>
        <v>13.125</v>
      </c>
      <c r="F28" s="2">
        <f t="shared" si="0"/>
        <v>13.125</v>
      </c>
      <c r="G28" s="2">
        <f t="shared" si="0"/>
        <v>13.125</v>
      </c>
      <c r="H28" s="2">
        <f t="shared" si="0"/>
        <v>13.125</v>
      </c>
      <c r="I28" s="2">
        <f t="shared" si="0"/>
        <v>13.125</v>
      </c>
      <c r="J28" s="2">
        <f t="shared" si="0"/>
        <v>13.125</v>
      </c>
      <c r="K28" s="2">
        <f t="shared" si="0"/>
        <v>13.125</v>
      </c>
      <c r="L28" s="2">
        <f t="shared" si="0"/>
        <v>1013.125</v>
      </c>
    </row>
    <row r="29" spans="1:12" x14ac:dyDescent="0.2">
      <c r="A29" s="1" t="s">
        <v>17</v>
      </c>
      <c r="C29" s="5">
        <f>-PV($B$19/$B$17,C26,0,C28,0)</f>
        <v>12.95483820023985</v>
      </c>
      <c r="D29" s="5">
        <f t="shared" ref="D29:L29" si="1">-PV($B$19/$B$17,D26,0,D28,0)</f>
        <v>12.786882498620471</v>
      </c>
      <c r="E29" s="5">
        <f t="shared" si="1"/>
        <v>12.62110429372243</v>
      </c>
      <c r="F29" s="5">
        <f t="shared" si="1"/>
        <v>12.457475354935356</v>
      </c>
      <c r="G29" s="5">
        <f t="shared" si="1"/>
        <v>12.295967817650517</v>
      </c>
      <c r="H29" s="5">
        <f t="shared" si="1"/>
        <v>12.136554178515714</v>
      </c>
      <c r="I29" s="5">
        <f t="shared" si="1"/>
        <v>11.979207290751692</v>
      </c>
      <c r="J29" s="5">
        <f t="shared" si="1"/>
        <v>11.823900359529278</v>
      </c>
      <c r="K29" s="5">
        <f t="shared" si="1"/>
        <v>11.670606937406445</v>
      </c>
      <c r="L29" s="5">
        <f t="shared" si="1"/>
        <v>889.18032338264732</v>
      </c>
    </row>
    <row r="30" spans="1:12" x14ac:dyDescent="0.2">
      <c r="A30" s="1" t="s">
        <v>18</v>
      </c>
      <c r="B30" s="5">
        <f>SUM(C29:L29)</f>
        <v>999.90686031401901</v>
      </c>
      <c r="C30" s="5"/>
      <c r="D30" s="5"/>
      <c r="E30" s="5"/>
      <c r="F30" s="5"/>
      <c r="G30" s="5"/>
      <c r="H30" s="5"/>
      <c r="I30" s="5"/>
      <c r="J30" s="5"/>
      <c r="K30" s="5"/>
      <c r="L30" s="5"/>
    </row>
    <row r="31" spans="1:12" x14ac:dyDescent="0.2">
      <c r="A31" s="1" t="s">
        <v>19</v>
      </c>
      <c r="B31" s="5">
        <f>-PV(B19/B17,B22,B23,B16,0)</f>
        <v>999.90686031401822</v>
      </c>
    </row>
    <row r="32" spans="1:12" x14ac:dyDescent="0.2">
      <c r="A32" s="1" t="s">
        <v>33</v>
      </c>
      <c r="C32" s="1">
        <f>C29/$B$30</f>
        <v>1.2956044922195459E-2</v>
      </c>
      <c r="D32" s="1">
        <f t="shared" ref="D32:L32" si="2">D29/$B$30</f>
        <v>1.2788073575777621E-2</v>
      </c>
      <c r="E32" s="1">
        <f t="shared" si="2"/>
        <v>1.2622279928911373E-2</v>
      </c>
      <c r="F32" s="1">
        <f t="shared" si="2"/>
        <v>1.2458635748356709E-2</v>
      </c>
      <c r="G32" s="1">
        <f t="shared" si="2"/>
        <v>1.2297113166909356E-2</v>
      </c>
      <c r="H32" s="1">
        <f t="shared" si="2"/>
        <v>1.213768467865522E-2</v>
      </c>
      <c r="I32" s="1">
        <f t="shared" si="2"/>
        <v>1.198032313428637E-2</v>
      </c>
      <c r="J32" s="1">
        <f t="shared" si="2"/>
        <v>1.1825001736477738E-2</v>
      </c>
      <c r="K32" s="1">
        <f t="shared" si="2"/>
        <v>1.1671694035323761E-2</v>
      </c>
      <c r="L32" s="1">
        <f t="shared" si="2"/>
        <v>0.88926314907310644</v>
      </c>
    </row>
    <row r="33" spans="1:12" x14ac:dyDescent="0.2">
      <c r="A33" s="1" t="s">
        <v>51</v>
      </c>
      <c r="C33" s="1">
        <f>C32*C27</f>
        <v>6.4780224610977294E-3</v>
      </c>
      <c r="D33" s="1">
        <f t="shared" ref="D33:L33" si="3">D32*D27</f>
        <v>1.2788073575777621E-2</v>
      </c>
      <c r="E33" s="1">
        <f t="shared" si="3"/>
        <v>1.8933419893367061E-2</v>
      </c>
      <c r="F33" s="1">
        <f t="shared" si="3"/>
        <v>2.4917271496713418E-2</v>
      </c>
      <c r="G33" s="1">
        <f t="shared" si="3"/>
        <v>3.0742782917273392E-2</v>
      </c>
      <c r="H33" s="1">
        <f t="shared" si="3"/>
        <v>3.6413054035965661E-2</v>
      </c>
      <c r="I33" s="1">
        <f t="shared" si="3"/>
        <v>4.1931130970002291E-2</v>
      </c>
      <c r="J33" s="1">
        <f t="shared" si="3"/>
        <v>4.7300006945910952E-2</v>
      </c>
      <c r="K33" s="1">
        <f t="shared" si="3"/>
        <v>5.2522623158956921E-2</v>
      </c>
      <c r="L33" s="1">
        <f t="shared" si="3"/>
        <v>4.4463157453655322</v>
      </c>
    </row>
    <row r="34" spans="1:12" x14ac:dyDescent="0.2">
      <c r="A34" s="1" t="s">
        <v>52</v>
      </c>
      <c r="B34" s="24">
        <f>SUM(C33:L33)</f>
        <v>4.7183421308205968</v>
      </c>
    </row>
    <row r="35" spans="1:12" x14ac:dyDescent="0.2">
      <c r="A35" s="1" t="s">
        <v>53</v>
      </c>
      <c r="B35" s="24">
        <f>B34/(1+B24)</f>
        <v>4.6571702002404392</v>
      </c>
      <c r="C35" s="1" t="s">
        <v>55</v>
      </c>
    </row>
    <row r="37" spans="1:12" x14ac:dyDescent="0.2">
      <c r="A37" s="22" t="s">
        <v>57</v>
      </c>
    </row>
    <row r="38" spans="1:12" x14ac:dyDescent="0.2">
      <c r="A38" s="1" t="s">
        <v>52</v>
      </c>
      <c r="B38" s="24">
        <f>DURATION(DATE(2018,1,1),DATE(2018+B15,1,1),B18,B19,B17)</f>
        <v>4.7183421308205977</v>
      </c>
    </row>
    <row r="39" spans="1:12" x14ac:dyDescent="0.2">
      <c r="A39" s="1" t="s">
        <v>53</v>
      </c>
      <c r="B39" s="24">
        <f>MDURATION(DATE(2018,1,1),DATE(2018+B15,1,1),B18,B19,B17)</f>
        <v>4.65717020024044</v>
      </c>
    </row>
    <row r="41" spans="1:12" x14ac:dyDescent="0.2">
      <c r="A41" s="22" t="s">
        <v>58</v>
      </c>
    </row>
    <row r="42" spans="1:12" x14ac:dyDescent="0.2">
      <c r="A42" s="1" t="s">
        <v>59</v>
      </c>
      <c r="C42" s="1">
        <f>C32*(C27^2+C27)</f>
        <v>9.7170336916465941E-3</v>
      </c>
      <c r="D42" s="1">
        <f t="shared" ref="D42:L42" si="4">D32*(D27^2+D27)</f>
        <v>2.5576147151555241E-2</v>
      </c>
      <c r="E42" s="1">
        <f t="shared" si="4"/>
        <v>4.7333549733417649E-2</v>
      </c>
      <c r="F42" s="1">
        <f t="shared" si="4"/>
        <v>7.4751814490140261E-2</v>
      </c>
      <c r="G42" s="1">
        <f t="shared" si="4"/>
        <v>0.10759974021045687</v>
      </c>
      <c r="H42" s="1">
        <f t="shared" si="4"/>
        <v>0.14565221614386265</v>
      </c>
      <c r="I42" s="1">
        <f t="shared" si="4"/>
        <v>0.18869008936501033</v>
      </c>
      <c r="J42" s="1">
        <f t="shared" si="4"/>
        <v>0.23650003472955478</v>
      </c>
      <c r="K42" s="1">
        <f t="shared" si="4"/>
        <v>0.28887442737426311</v>
      </c>
      <c r="L42" s="1">
        <f t="shared" si="4"/>
        <v>26.677894472193195</v>
      </c>
    </row>
    <row r="43" spans="1:12" x14ac:dyDescent="0.2">
      <c r="A43" s="1" t="s">
        <v>60</v>
      </c>
      <c r="B43" s="24">
        <f>SUM(C42:L42)</f>
        <v>27.802589525083103</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Spinner 1">
              <controlPr defaultSize="0" autoPict="0">
                <anchor moveWithCells="1" sizeWithCells="1">
                  <from>
                    <xdr:col>1</xdr:col>
                    <xdr:colOff>101600</xdr:colOff>
                    <xdr:row>14</xdr:row>
                    <xdr:rowOff>88900</xdr:rowOff>
                  </from>
                  <to>
                    <xdr:col>1</xdr:col>
                    <xdr:colOff>469900</xdr:colOff>
                    <xdr:row>14</xdr:row>
                    <xdr:rowOff>571500</xdr:rowOff>
                  </to>
                </anchor>
              </controlPr>
            </control>
          </mc:Choice>
        </mc:AlternateContent>
        <mc:AlternateContent xmlns:mc="http://schemas.openxmlformats.org/markup-compatibility/2006">
          <mc:Choice Requires="x14">
            <control shapeId="3074" r:id="rId4" name="Spinner 2">
              <controlPr defaultSize="0" autoPict="0">
                <anchor moveWithCells="1" sizeWithCells="1">
                  <from>
                    <xdr:col>1</xdr:col>
                    <xdr:colOff>139700</xdr:colOff>
                    <xdr:row>17</xdr:row>
                    <xdr:rowOff>76200</xdr:rowOff>
                  </from>
                  <to>
                    <xdr:col>1</xdr:col>
                    <xdr:colOff>558800</xdr:colOff>
                    <xdr:row>17</xdr:row>
                    <xdr:rowOff>469900</xdr:rowOff>
                  </to>
                </anchor>
              </controlPr>
            </control>
          </mc:Choice>
        </mc:AlternateContent>
        <mc:AlternateContent xmlns:mc="http://schemas.openxmlformats.org/markup-compatibility/2006">
          <mc:Choice Requires="x14">
            <control shapeId="3075" r:id="rId5" name="Spinner 3">
              <controlPr defaultSize="0" autoPict="0">
                <anchor moveWithCells="1" sizeWithCells="1">
                  <from>
                    <xdr:col>1</xdr:col>
                    <xdr:colOff>88900</xdr:colOff>
                    <xdr:row>18</xdr:row>
                    <xdr:rowOff>76200</xdr:rowOff>
                  </from>
                  <to>
                    <xdr:col>1</xdr:col>
                    <xdr:colOff>558800</xdr:colOff>
                    <xdr:row>18</xdr:row>
                    <xdr:rowOff>596900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N46"/>
  <sheetViews>
    <sheetView zoomScale="75" zoomScaleNormal="100" workbookViewId="0">
      <selection activeCell="D52" sqref="D52"/>
    </sheetView>
  </sheetViews>
  <sheetFormatPr baseColWidth="10" defaultColWidth="8.83203125" defaultRowHeight="15" x14ac:dyDescent="0.2"/>
  <cols>
    <col min="1" max="1" width="26.33203125" customWidth="1"/>
    <col min="2" max="2" width="15.1640625" bestFit="1" customWidth="1"/>
    <col min="3" max="4" width="11.5" bestFit="1" customWidth="1"/>
    <col min="5" max="5" width="14" bestFit="1" customWidth="1"/>
    <col min="6" max="6" width="11.5" bestFit="1" customWidth="1"/>
    <col min="7" max="7" width="10.6640625" bestFit="1" customWidth="1"/>
    <col min="8" max="8" width="17.5" bestFit="1" customWidth="1"/>
    <col min="9" max="9" width="11.6640625" bestFit="1" customWidth="1"/>
    <col min="10" max="10" width="10.6640625" bestFit="1" customWidth="1"/>
    <col min="11" max="11" width="13.1640625" bestFit="1" customWidth="1"/>
    <col min="12" max="12" width="11.5" bestFit="1" customWidth="1"/>
    <col min="14" max="14" width="8.83203125" customWidth="1"/>
  </cols>
  <sheetData>
    <row r="4" spans="14:14" x14ac:dyDescent="0.2">
      <c r="N4" t="s">
        <v>21</v>
      </c>
    </row>
    <row r="5" spans="14:14" x14ac:dyDescent="0.2">
      <c r="N5" t="s">
        <v>22</v>
      </c>
    </row>
    <row r="7" spans="14:14" x14ac:dyDescent="0.2">
      <c r="N7" t="s">
        <v>38</v>
      </c>
    </row>
    <row r="8" spans="14:14" x14ac:dyDescent="0.2">
      <c r="N8" t="s">
        <v>39</v>
      </c>
    </row>
    <row r="10" spans="14:14" x14ac:dyDescent="0.2">
      <c r="N10" t="s">
        <v>40</v>
      </c>
    </row>
    <row r="20" spans="1:12" x14ac:dyDescent="0.2">
      <c r="A20" t="s">
        <v>23</v>
      </c>
      <c r="B20" t="s">
        <v>7</v>
      </c>
      <c r="C20" t="s">
        <v>26</v>
      </c>
      <c r="D20" t="s">
        <v>14</v>
      </c>
      <c r="E20" t="s">
        <v>8</v>
      </c>
      <c r="F20" t="s">
        <v>27</v>
      </c>
      <c r="G20" t="s">
        <v>11</v>
      </c>
      <c r="H20" t="s">
        <v>13</v>
      </c>
      <c r="I20" t="s">
        <v>41</v>
      </c>
    </row>
    <row r="21" spans="1:12" x14ac:dyDescent="0.2">
      <c r="A21" t="s">
        <v>24</v>
      </c>
      <c r="B21">
        <v>2</v>
      </c>
      <c r="C21">
        <v>2</v>
      </c>
      <c r="D21">
        <f>B21*C21</f>
        <v>4</v>
      </c>
      <c r="E21">
        <v>1000</v>
      </c>
      <c r="F21" s="12">
        <v>2.2499999999999999E-2</v>
      </c>
      <c r="G21" s="12">
        <v>2.5999999999999999E-2</v>
      </c>
      <c r="H21">
        <f>F21*E21/C21</f>
        <v>11.25</v>
      </c>
      <c r="I21" s="27">
        <v>2309.701759664269</v>
      </c>
    </row>
    <row r="22" spans="1:12" x14ac:dyDescent="0.2">
      <c r="A22" t="s">
        <v>25</v>
      </c>
      <c r="B22">
        <v>5</v>
      </c>
      <c r="C22">
        <v>2</v>
      </c>
      <c r="D22">
        <f>B22*C22</f>
        <v>10</v>
      </c>
      <c r="E22">
        <v>1000</v>
      </c>
      <c r="F22" s="13">
        <v>0.03</v>
      </c>
      <c r="G22" s="12">
        <v>2.5999999999999999E-2</v>
      </c>
      <c r="H22">
        <f>F22*E22/C22</f>
        <v>15</v>
      </c>
      <c r="I22" s="27">
        <v>1381.9112910487854</v>
      </c>
    </row>
    <row r="25" spans="1:12" x14ac:dyDescent="0.2">
      <c r="A25" t="s">
        <v>28</v>
      </c>
      <c r="B25">
        <v>0</v>
      </c>
      <c r="C25">
        <v>1</v>
      </c>
      <c r="D25">
        <v>2</v>
      </c>
      <c r="E25">
        <v>3</v>
      </c>
      <c r="F25">
        <v>4</v>
      </c>
      <c r="G25">
        <v>5</v>
      </c>
      <c r="H25">
        <v>6</v>
      </c>
      <c r="I25">
        <v>7</v>
      </c>
      <c r="J25">
        <v>8</v>
      </c>
      <c r="K25">
        <v>9</v>
      </c>
      <c r="L25">
        <v>10</v>
      </c>
    </row>
    <row r="26" spans="1:12" x14ac:dyDescent="0.2">
      <c r="A26" s="14" t="s">
        <v>29</v>
      </c>
      <c r="B26" s="14">
        <v>0</v>
      </c>
      <c r="C26" s="14">
        <v>0.5</v>
      </c>
      <c r="D26" s="14">
        <v>1</v>
      </c>
      <c r="E26" s="14">
        <v>1.5</v>
      </c>
      <c r="F26" s="14">
        <v>2</v>
      </c>
      <c r="G26" s="14">
        <v>2.5</v>
      </c>
      <c r="H26" s="14">
        <v>3</v>
      </c>
      <c r="I26" s="14">
        <v>3.5</v>
      </c>
      <c r="J26" s="14">
        <v>4</v>
      </c>
      <c r="K26" s="14">
        <v>4.5</v>
      </c>
      <c r="L26" s="14">
        <v>5</v>
      </c>
    </row>
    <row r="27" spans="1:12" x14ac:dyDescent="0.2">
      <c r="A27" t="s">
        <v>30</v>
      </c>
      <c r="C27" s="16">
        <v>0</v>
      </c>
      <c r="D27" s="16">
        <v>0</v>
      </c>
      <c r="E27" s="16">
        <v>0</v>
      </c>
      <c r="F27" s="16">
        <v>0</v>
      </c>
      <c r="G27" s="16">
        <v>0</v>
      </c>
      <c r="H27" s="15">
        <v>4000000</v>
      </c>
      <c r="I27" s="16">
        <v>0</v>
      </c>
      <c r="J27" s="16">
        <v>0</v>
      </c>
      <c r="K27" s="16">
        <v>0</v>
      </c>
      <c r="L27" s="16">
        <v>0</v>
      </c>
    </row>
    <row r="28" spans="1:12" x14ac:dyDescent="0.2">
      <c r="A28" t="s">
        <v>31</v>
      </c>
      <c r="C28" s="17">
        <f>-PV($G$22/2,C25,0,C27)</f>
        <v>0</v>
      </c>
      <c r="D28" s="17">
        <f t="shared" ref="D28:L28" si="0">-PV($G$22/2,D25,0,D27)</f>
        <v>0</v>
      </c>
      <c r="E28" s="17">
        <f t="shared" si="0"/>
        <v>0</v>
      </c>
      <c r="F28" s="17">
        <f t="shared" si="0"/>
        <v>0</v>
      </c>
      <c r="G28" s="17">
        <f t="shared" si="0"/>
        <v>0</v>
      </c>
      <c r="H28" s="17">
        <f t="shared" si="0"/>
        <v>3701717.9012059285</v>
      </c>
      <c r="I28" s="17">
        <f t="shared" si="0"/>
        <v>0</v>
      </c>
      <c r="J28" s="17">
        <f t="shared" si="0"/>
        <v>0</v>
      </c>
      <c r="K28" s="17">
        <f t="shared" si="0"/>
        <v>0</v>
      </c>
      <c r="L28" s="17">
        <f t="shared" si="0"/>
        <v>0</v>
      </c>
    </row>
    <row r="29" spans="1:12" x14ac:dyDescent="0.2">
      <c r="A29" s="18" t="s">
        <v>32</v>
      </c>
      <c r="B29" s="19">
        <f>SUM(C28:L28)</f>
        <v>3701717.9012059285</v>
      </c>
    </row>
    <row r="30" spans="1:12" x14ac:dyDescent="0.2">
      <c r="A30" t="s">
        <v>33</v>
      </c>
      <c r="C30">
        <f>C28/$B$29</f>
        <v>0</v>
      </c>
      <c r="D30">
        <f t="shared" ref="D30:L30" si="1">D28/$B$29</f>
        <v>0</v>
      </c>
      <c r="E30">
        <f t="shared" si="1"/>
        <v>0</v>
      </c>
      <c r="F30">
        <f t="shared" si="1"/>
        <v>0</v>
      </c>
      <c r="G30">
        <f t="shared" si="1"/>
        <v>0</v>
      </c>
      <c r="H30">
        <f t="shared" si="1"/>
        <v>1</v>
      </c>
      <c r="I30">
        <f t="shared" si="1"/>
        <v>0</v>
      </c>
      <c r="J30">
        <f t="shared" si="1"/>
        <v>0</v>
      </c>
      <c r="K30">
        <f t="shared" si="1"/>
        <v>0</v>
      </c>
      <c r="L30">
        <f t="shared" si="1"/>
        <v>0</v>
      </c>
    </row>
    <row r="31" spans="1:12" x14ac:dyDescent="0.2">
      <c r="A31" t="s">
        <v>34</v>
      </c>
      <c r="C31">
        <f>C26*C30</f>
        <v>0</v>
      </c>
      <c r="D31">
        <f t="shared" ref="D31:L31" si="2">D26*D30</f>
        <v>0</v>
      </c>
      <c r="E31">
        <f t="shared" si="2"/>
        <v>0</v>
      </c>
      <c r="F31">
        <f t="shared" si="2"/>
        <v>0</v>
      </c>
      <c r="G31">
        <f t="shared" si="2"/>
        <v>0</v>
      </c>
      <c r="H31">
        <f t="shared" si="2"/>
        <v>3</v>
      </c>
      <c r="I31">
        <f t="shared" si="2"/>
        <v>0</v>
      </c>
      <c r="J31">
        <f t="shared" si="2"/>
        <v>0</v>
      </c>
      <c r="K31">
        <f t="shared" si="2"/>
        <v>0</v>
      </c>
      <c r="L31">
        <f t="shared" si="2"/>
        <v>0</v>
      </c>
    </row>
    <row r="32" spans="1:12" x14ac:dyDescent="0.2">
      <c r="A32" s="20" t="s">
        <v>35</v>
      </c>
      <c r="B32" s="20">
        <f>SUM(C31:L31)</f>
        <v>3</v>
      </c>
    </row>
    <row r="34" spans="1:12" x14ac:dyDescent="0.2">
      <c r="A34" t="s">
        <v>36</v>
      </c>
      <c r="B34" s="25">
        <f>IF(C25&lt;$D$21,$H$21*$I$21,IF(C25=$D$21,($H$21+$E$21)*$I$21,0))</f>
        <v>25984.144796223027</v>
      </c>
      <c r="C34" s="25">
        <f t="shared" ref="C34:K34" si="3">IF(D25&lt;$D$21,$H$21*$I$21,IF(D25=$D$21,($H$21+$E$21)*$I$21,0))</f>
        <v>25984.144796223027</v>
      </c>
      <c r="D34" s="25">
        <f t="shared" si="3"/>
        <v>25984.144796223027</v>
      </c>
      <c r="E34" s="25">
        <f t="shared" si="3"/>
        <v>2335685.9044604921</v>
      </c>
      <c r="F34" s="25">
        <f t="shared" si="3"/>
        <v>0</v>
      </c>
      <c r="G34" s="25">
        <f t="shared" si="3"/>
        <v>0</v>
      </c>
      <c r="H34" s="25">
        <f t="shared" si="3"/>
        <v>0</v>
      </c>
      <c r="I34" s="25">
        <f t="shared" si="3"/>
        <v>0</v>
      </c>
      <c r="J34" s="25">
        <f t="shared" si="3"/>
        <v>0</v>
      </c>
      <c r="K34" s="25">
        <f t="shared" si="3"/>
        <v>0</v>
      </c>
      <c r="L34" s="25"/>
    </row>
    <row r="35" spans="1:12" x14ac:dyDescent="0.2">
      <c r="A35" t="s">
        <v>37</v>
      </c>
      <c r="B35" s="15">
        <f>IF(C25&lt;$D$22,$H$22*$I$22,IF(C25=$D$22,($H$22+$E$22)*$I$22,0))</f>
        <v>20728.669365731781</v>
      </c>
      <c r="C35" s="15">
        <f t="shared" ref="C35:K35" si="4">IF(D25&lt;$D$22,$H$22*$I$22,IF(D25=$D$22,($H$22+$E$22)*$I$22,0))</f>
        <v>20728.669365731781</v>
      </c>
      <c r="D35" s="15">
        <f t="shared" si="4"/>
        <v>20728.669365731781</v>
      </c>
      <c r="E35" s="15">
        <f t="shared" si="4"/>
        <v>20728.669365731781</v>
      </c>
      <c r="F35" s="15">
        <f t="shared" si="4"/>
        <v>20728.669365731781</v>
      </c>
      <c r="G35" s="15">
        <f t="shared" si="4"/>
        <v>20728.669365731781</v>
      </c>
      <c r="H35" s="15">
        <f t="shared" si="4"/>
        <v>20728.669365731781</v>
      </c>
      <c r="I35" s="15">
        <f t="shared" si="4"/>
        <v>20728.669365731781</v>
      </c>
      <c r="J35" s="15">
        <f t="shared" si="4"/>
        <v>20728.669365731781</v>
      </c>
      <c r="K35" s="15">
        <f t="shared" si="4"/>
        <v>1402639.9604145172</v>
      </c>
      <c r="L35" s="15"/>
    </row>
    <row r="36" spans="1:12" x14ac:dyDescent="0.2">
      <c r="A36" t="s">
        <v>61</v>
      </c>
      <c r="B36" s="15">
        <f>SUM(B34:B35)</f>
        <v>46712.814161954811</v>
      </c>
      <c r="C36" s="15">
        <f t="shared" ref="C36:K36" si="5">SUM(C34:C35)</f>
        <v>46712.814161954811</v>
      </c>
      <c r="D36" s="15">
        <f t="shared" si="5"/>
        <v>46712.814161954811</v>
      </c>
      <c r="E36" s="15">
        <f t="shared" si="5"/>
        <v>2356414.5738262241</v>
      </c>
      <c r="F36" s="15">
        <f t="shared" si="5"/>
        <v>20728.669365731781</v>
      </c>
      <c r="G36" s="15">
        <f t="shared" si="5"/>
        <v>20728.669365731781</v>
      </c>
      <c r="H36" s="15">
        <f t="shared" si="5"/>
        <v>20728.669365731781</v>
      </c>
      <c r="I36" s="15">
        <f t="shared" si="5"/>
        <v>20728.669365731781</v>
      </c>
      <c r="J36" s="15">
        <f t="shared" si="5"/>
        <v>20728.669365731781</v>
      </c>
      <c r="K36" s="15">
        <f t="shared" si="5"/>
        <v>1402639.9604145172</v>
      </c>
      <c r="L36" s="15"/>
    </row>
    <row r="37" spans="1:12" x14ac:dyDescent="0.2">
      <c r="A37" t="s">
        <v>43</v>
      </c>
    </row>
    <row r="38" spans="1:12" x14ac:dyDescent="0.2">
      <c r="A38" t="s">
        <v>42</v>
      </c>
    </row>
    <row r="39" spans="1:12" x14ac:dyDescent="0.2">
      <c r="A39" t="s">
        <v>44</v>
      </c>
      <c r="B39" s="17">
        <f>-PV($G$22/2,C25,0,B36)</f>
        <v>46113.340732433186</v>
      </c>
      <c r="C39" s="17">
        <f t="shared" ref="C39:K39" si="6">-PV($G$22/2,D25,0,C36)</f>
        <v>45521.560446627031</v>
      </c>
      <c r="D39" s="17">
        <f t="shared" si="6"/>
        <v>44937.374577124414</v>
      </c>
      <c r="E39" s="17">
        <f t="shared" si="6"/>
        <v>2237762.1232575839</v>
      </c>
      <c r="F39" s="17">
        <f t="shared" si="6"/>
        <v>19432.299595819823</v>
      </c>
      <c r="G39" s="17">
        <f t="shared" si="6"/>
        <v>19182.921614827068</v>
      </c>
      <c r="H39" s="17">
        <f t="shared" si="6"/>
        <v>18936.743943560781</v>
      </c>
      <c r="I39" s="17">
        <f t="shared" si="6"/>
        <v>18693.725511906003</v>
      </c>
      <c r="J39" s="17">
        <f t="shared" si="6"/>
        <v>18453.825776807505</v>
      </c>
      <c r="K39" s="17">
        <f t="shared" si="6"/>
        <v>1232683.9857492344</v>
      </c>
      <c r="L39" s="17"/>
    </row>
    <row r="40" spans="1:12" x14ac:dyDescent="0.2">
      <c r="A40" s="18" t="s">
        <v>62</v>
      </c>
      <c r="B40" s="19">
        <f>SUM(B39:L39)</f>
        <v>3701717.9012059243</v>
      </c>
      <c r="C40" s="17"/>
      <c r="D40" s="17"/>
      <c r="E40" s="17"/>
      <c r="F40" s="17"/>
      <c r="G40" s="17"/>
      <c r="H40" s="17"/>
      <c r="I40" s="17"/>
      <c r="J40" s="17"/>
      <c r="K40" s="17"/>
      <c r="L40" s="17"/>
    </row>
    <row r="41" spans="1:12" x14ac:dyDescent="0.2">
      <c r="A41" t="s">
        <v>33</v>
      </c>
      <c r="B41">
        <f>B39/$B$40</f>
        <v>1.2457281176777584E-2</v>
      </c>
      <c r="C41">
        <f t="shared" ref="C41:K41" si="7">C39/$B$40</f>
        <v>1.2297414784578069E-2</v>
      </c>
      <c r="D41">
        <f t="shared" si="7"/>
        <v>1.213959998477598E-2</v>
      </c>
      <c r="E41">
        <f t="shared" si="7"/>
        <v>0.60451989670217132</v>
      </c>
      <c r="F41">
        <f t="shared" si="7"/>
        <v>5.2495355168715799E-3</v>
      </c>
      <c r="G41">
        <f t="shared" si="7"/>
        <v>5.182167341432951E-3</v>
      </c>
      <c r="H41">
        <f t="shared" si="7"/>
        <v>5.1156637131618476E-3</v>
      </c>
      <c r="I41">
        <f t="shared" si="7"/>
        <v>5.0500135371785273E-3</v>
      </c>
      <c r="J41">
        <f t="shared" si="7"/>
        <v>4.9852058609857128E-3</v>
      </c>
      <c r="K41">
        <f t="shared" si="7"/>
        <v>0.33300322138206634</v>
      </c>
    </row>
    <row r="42" spans="1:12" x14ac:dyDescent="0.2">
      <c r="A42" t="s">
        <v>45</v>
      </c>
      <c r="B42">
        <f>B41*C26</f>
        <v>6.2286405883887922E-3</v>
      </c>
      <c r="C42">
        <f t="shared" ref="C42:K42" si="8">C41*D26</f>
        <v>1.2297414784578069E-2</v>
      </c>
      <c r="D42">
        <f t="shared" si="8"/>
        <v>1.8209399977163969E-2</v>
      </c>
      <c r="E42">
        <f t="shared" si="8"/>
        <v>1.2090397934043426</v>
      </c>
      <c r="F42">
        <f t="shared" si="8"/>
        <v>1.312383879217895E-2</v>
      </c>
      <c r="G42">
        <f t="shared" si="8"/>
        <v>1.5546502024298853E-2</v>
      </c>
      <c r="H42">
        <f t="shared" si="8"/>
        <v>1.7904822996066466E-2</v>
      </c>
      <c r="I42">
        <f t="shared" si="8"/>
        <v>2.0200054148714109E-2</v>
      </c>
      <c r="J42">
        <f t="shared" si="8"/>
        <v>2.2433426374435708E-2</v>
      </c>
      <c r="K42">
        <f t="shared" si="8"/>
        <v>1.6650161069103318</v>
      </c>
    </row>
    <row r="43" spans="1:12" x14ac:dyDescent="0.2">
      <c r="A43" s="26" t="s">
        <v>46</v>
      </c>
      <c r="B43" s="26">
        <f>SUM(B42:L42)</f>
        <v>3.0000000000004996</v>
      </c>
    </row>
    <row r="45" spans="1:12" x14ac:dyDescent="0.2">
      <c r="A45" t="s">
        <v>63</v>
      </c>
      <c r="B45" s="15">
        <f>B29-B40</f>
        <v>4.1909515857696533E-9</v>
      </c>
      <c r="C45" t="s">
        <v>65</v>
      </c>
    </row>
    <row r="46" spans="1:12" x14ac:dyDescent="0.2">
      <c r="A46" t="s">
        <v>64</v>
      </c>
      <c r="B46" s="15">
        <f>B32-B43</f>
        <v>-4.9960036108132044E-13</v>
      </c>
      <c r="C46" t="s">
        <v>66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5:O43"/>
  <sheetViews>
    <sheetView topLeftCell="A11" zoomScale="110" workbookViewId="0">
      <selection activeCell="B43" sqref="B43"/>
    </sheetView>
  </sheetViews>
  <sheetFormatPr baseColWidth="10" defaultColWidth="8.83203125" defaultRowHeight="16" x14ac:dyDescent="0.2"/>
  <cols>
    <col min="1" max="1" width="17.5" style="31" bestFit="1" customWidth="1"/>
    <col min="2" max="2" width="9.83203125" style="31" bestFit="1" customWidth="1"/>
    <col min="3" max="3" width="14.83203125" style="31" bestFit="1" customWidth="1"/>
    <col min="4" max="4" width="16" style="31" bestFit="1" customWidth="1"/>
    <col min="5" max="11" width="9" style="31" bestFit="1" customWidth="1"/>
    <col min="12" max="12" width="9.1640625" style="31" bestFit="1" customWidth="1"/>
    <col min="13" max="16384" width="8.83203125" style="31"/>
  </cols>
  <sheetData>
    <row r="15" spans="1:5" x14ac:dyDescent="0.2">
      <c r="A15" s="31" t="s">
        <v>83</v>
      </c>
      <c r="B15" s="31" t="s">
        <v>84</v>
      </c>
      <c r="C15" s="31" t="s">
        <v>86</v>
      </c>
      <c r="D15" s="31" t="s">
        <v>87</v>
      </c>
      <c r="E15" s="31" t="s">
        <v>94</v>
      </c>
    </row>
    <row r="16" spans="1:5" x14ac:dyDescent="0.2">
      <c r="A16" s="31" t="s">
        <v>85</v>
      </c>
      <c r="B16" s="34">
        <f ca="1">TODAY()</f>
        <v>46019</v>
      </c>
    </row>
    <row r="17" spans="1:15" x14ac:dyDescent="0.2">
      <c r="A17" s="33" t="s">
        <v>67</v>
      </c>
      <c r="B17" s="34">
        <f ca="1">DATE(YEAR(B16),MONTH(B16)+1,DAY(B16))</f>
        <v>46050</v>
      </c>
      <c r="C17" s="31">
        <f ca="1">YEARFRAC($B$16,B17)</f>
        <v>8.3333333333333329E-2</v>
      </c>
      <c r="D17" s="42">
        <v>4.0599999999999997E-2</v>
      </c>
    </row>
    <row r="18" spans="1:15" x14ac:dyDescent="0.2">
      <c r="A18" s="33" t="s">
        <v>70</v>
      </c>
      <c r="B18" s="32">
        <f ca="1">DATE(YEAR(B16),MONTH(B16)+3,DAY(B16))</f>
        <v>46109</v>
      </c>
      <c r="C18" s="31">
        <f t="shared" ref="C18:C27" ca="1" si="0">YEARFRAC($B$16,B18)</f>
        <v>0.25</v>
      </c>
      <c r="D18" s="42">
        <v>3.8900000000000004E-2</v>
      </c>
      <c r="E18" s="43">
        <f ca="1">((1+D18)^C18 / (1+D17)^C17)^(1/(C18-C17)) - 1</f>
        <v>3.8051041750204462E-2</v>
      </c>
      <c r="F18" s="33"/>
      <c r="G18" s="33"/>
      <c r="H18" s="33"/>
      <c r="I18" s="33"/>
      <c r="J18" s="33"/>
      <c r="K18" s="33"/>
      <c r="L18" s="33"/>
      <c r="M18" s="33"/>
      <c r="N18" s="33"/>
      <c r="O18" s="33"/>
    </row>
    <row r="19" spans="1:15" x14ac:dyDescent="0.2">
      <c r="A19" s="33" t="s">
        <v>72</v>
      </c>
      <c r="B19" s="34">
        <f ca="1">DATE(YEAR(B16),MONTH(B16)+6,DAY(B16))</f>
        <v>46201</v>
      </c>
      <c r="C19" s="31">
        <f t="shared" ca="1" si="0"/>
        <v>0.5</v>
      </c>
      <c r="D19" s="42">
        <v>3.7900000000000003E-2</v>
      </c>
      <c r="E19" s="43">
        <f t="shared" ref="E19:E27" ca="1" si="1">((1+D19)^C19 / (1+D18)^C18)^(1/(C19-C18)) - 1</f>
        <v>3.6900962556551065E-2</v>
      </c>
    </row>
    <row r="20" spans="1:15" x14ac:dyDescent="0.2">
      <c r="A20" s="33" t="s">
        <v>73</v>
      </c>
      <c r="B20" s="34">
        <f ca="1">DATE(YEAR(B16)+1,MONTH(B16),DAY(B16))</f>
        <v>46384</v>
      </c>
      <c r="C20" s="31">
        <f t="shared" ca="1" si="0"/>
        <v>1</v>
      </c>
      <c r="D20" s="42">
        <v>3.7000000000000005E-2</v>
      </c>
      <c r="E20" s="43">
        <f t="shared" ca="1" si="1"/>
        <v>3.6100780422005485E-2</v>
      </c>
    </row>
    <row r="21" spans="1:15" x14ac:dyDescent="0.2">
      <c r="A21" s="33" t="s">
        <v>74</v>
      </c>
      <c r="B21" s="34">
        <f ca="1">DATE(YEAR(B16)+2,MONTH(B16),DAY(B16))</f>
        <v>46749</v>
      </c>
      <c r="C21" s="31">
        <f t="shared" ca="1" si="0"/>
        <v>2</v>
      </c>
      <c r="D21" s="42">
        <v>3.6000000000000004E-2</v>
      </c>
      <c r="E21" s="43">
        <f t="shared" ca="1" si="1"/>
        <v>3.5000964320154315E-2</v>
      </c>
    </row>
    <row r="22" spans="1:15" x14ac:dyDescent="0.2">
      <c r="A22" s="33" t="s">
        <v>75</v>
      </c>
      <c r="B22" s="34">
        <f ca="1">DATE(YEAR(B16)+3,MONTH(B16),DAY(B16))</f>
        <v>47115</v>
      </c>
      <c r="C22" s="31">
        <f t="shared" ca="1" si="0"/>
        <v>3</v>
      </c>
      <c r="D22" s="42">
        <v>3.6000000000000004E-2</v>
      </c>
      <c r="E22" s="43">
        <f t="shared" ca="1" si="1"/>
        <v>3.6000000000000032E-2</v>
      </c>
    </row>
    <row r="23" spans="1:15" x14ac:dyDescent="0.2">
      <c r="A23" s="33" t="s">
        <v>76</v>
      </c>
      <c r="B23" s="34">
        <f ca="1">DATE(YEAR(B16)+5,MONTH(B16),DAY(B16))</f>
        <v>47845</v>
      </c>
      <c r="C23" s="31">
        <f t="shared" ca="1" si="0"/>
        <v>5</v>
      </c>
      <c r="D23" s="42">
        <v>3.7100000000000001E-2</v>
      </c>
      <c r="E23" s="43">
        <f t="shared" ca="1" si="1"/>
        <v>3.8752190300608502E-2</v>
      </c>
    </row>
    <row r="24" spans="1:15" x14ac:dyDescent="0.2">
      <c r="A24" s="33" t="s">
        <v>77</v>
      </c>
      <c r="B24" s="34">
        <f ca="1">DATE(YEAR(B16)+7,MONTH(B16),DAY(B16))</f>
        <v>48576</v>
      </c>
      <c r="C24" s="31">
        <f t="shared" ca="1" si="0"/>
        <v>7</v>
      </c>
      <c r="D24" s="42">
        <v>3.8900000000000004E-2</v>
      </c>
      <c r="E24" s="43">
        <f t="shared" ca="1" si="1"/>
        <v>4.3413679783816717E-2</v>
      </c>
    </row>
    <row r="25" spans="1:15" x14ac:dyDescent="0.2">
      <c r="A25" s="33" t="s">
        <v>78</v>
      </c>
      <c r="B25" s="34">
        <f ca="1">DATE(YEAR(B16)+10,MONTH(B16),DAY(B16))</f>
        <v>49671</v>
      </c>
      <c r="C25" s="31">
        <f t="shared" ca="1" si="0"/>
        <v>10</v>
      </c>
      <c r="D25" s="42">
        <v>4.1100000000000005E-2</v>
      </c>
      <c r="E25" s="43">
        <f t="shared" ca="1" si="1"/>
        <v>4.6251467841168958E-2</v>
      </c>
    </row>
    <row r="26" spans="1:15" x14ac:dyDescent="0.2">
      <c r="A26" s="33" t="s">
        <v>79</v>
      </c>
      <c r="B26" s="34">
        <f ca="1">DATE(YEAR(B16)+20,MONTH(B16),DAY(B16))</f>
        <v>53324</v>
      </c>
      <c r="C26" s="31">
        <f t="shared" ca="1" si="0"/>
        <v>20</v>
      </c>
      <c r="D26" s="42">
        <v>4.6500000000000007E-2</v>
      </c>
      <c r="E26" s="43">
        <f t="shared" ca="1" si="1"/>
        <v>5.192800883680726E-2</v>
      </c>
    </row>
    <row r="27" spans="1:15" x14ac:dyDescent="0.2">
      <c r="A27" s="33" t="s">
        <v>80</v>
      </c>
      <c r="B27" s="34">
        <f ca="1">DATE(YEAR(B16)+30,MONTH(B16),DAY(B16))</f>
        <v>56976</v>
      </c>
      <c r="C27" s="31">
        <f t="shared" ca="1" si="0"/>
        <v>30</v>
      </c>
      <c r="D27" s="42">
        <v>4.6699999999999998E-2</v>
      </c>
      <c r="E27" s="43">
        <f t="shared" ca="1" si="1"/>
        <v>4.7100114675245441E-2</v>
      </c>
    </row>
    <row r="29" spans="1:15" x14ac:dyDescent="0.2">
      <c r="A29" s="31" t="s">
        <v>8</v>
      </c>
      <c r="B29" s="31">
        <v>1000</v>
      </c>
    </row>
    <row r="30" spans="1:15" x14ac:dyDescent="0.2">
      <c r="A30" s="31" t="s">
        <v>7</v>
      </c>
      <c r="B30" s="31">
        <v>5</v>
      </c>
    </row>
    <row r="31" spans="1:15" x14ac:dyDescent="0.2">
      <c r="A31" s="31" t="s">
        <v>88</v>
      </c>
      <c r="B31" s="31">
        <v>2</v>
      </c>
    </row>
    <row r="32" spans="1:15" x14ac:dyDescent="0.2">
      <c r="A32" s="31" t="s">
        <v>89</v>
      </c>
      <c r="B32" s="31">
        <f>B30*B31</f>
        <v>10</v>
      </c>
    </row>
    <row r="33" spans="1:12" x14ac:dyDescent="0.2">
      <c r="A33" s="31" t="s">
        <v>27</v>
      </c>
      <c r="B33" s="36">
        <v>0.05</v>
      </c>
    </row>
    <row r="34" spans="1:12" x14ac:dyDescent="0.2">
      <c r="A34" s="31" t="s">
        <v>90</v>
      </c>
      <c r="B34" s="31">
        <f>B29*B33/B31</f>
        <v>25</v>
      </c>
    </row>
    <row r="37" spans="1:12" x14ac:dyDescent="0.2">
      <c r="A37" s="31" t="s">
        <v>28</v>
      </c>
      <c r="B37" s="31">
        <v>0</v>
      </c>
      <c r="C37" s="31">
        <v>1</v>
      </c>
      <c r="D37" s="31">
        <v>2</v>
      </c>
      <c r="E37" s="31">
        <v>3</v>
      </c>
      <c r="F37" s="31">
        <v>4</v>
      </c>
      <c r="G37" s="31">
        <v>5</v>
      </c>
      <c r="H37" s="31">
        <v>6</v>
      </c>
      <c r="I37" s="31">
        <v>7</v>
      </c>
      <c r="J37" s="31">
        <v>8</v>
      </c>
      <c r="K37" s="31">
        <v>9</v>
      </c>
      <c r="L37" s="31">
        <v>10</v>
      </c>
    </row>
    <row r="38" spans="1:12" x14ac:dyDescent="0.2">
      <c r="A38" s="37" t="s">
        <v>15</v>
      </c>
      <c r="B38" s="37">
        <v>0</v>
      </c>
      <c r="C38" s="37">
        <v>0.5</v>
      </c>
      <c r="D38" s="37">
        <v>1</v>
      </c>
      <c r="E38" s="37">
        <v>1.5</v>
      </c>
      <c r="F38" s="37">
        <v>2</v>
      </c>
      <c r="G38" s="37">
        <v>2.5</v>
      </c>
      <c r="H38" s="37">
        <v>3</v>
      </c>
      <c r="I38" s="37">
        <v>3.5</v>
      </c>
      <c r="J38" s="37">
        <v>4</v>
      </c>
      <c r="K38" s="37">
        <v>4.5</v>
      </c>
      <c r="L38" s="37">
        <v>5</v>
      </c>
    </row>
    <row r="39" spans="1:12" x14ac:dyDescent="0.2">
      <c r="A39" s="31" t="s">
        <v>91</v>
      </c>
      <c r="C39" s="38">
        <f>IF(C37&lt;$B$32,$B$34,$B$34+$B$29)</f>
        <v>25</v>
      </c>
      <c r="D39" s="38">
        <f t="shared" ref="D39:L39" si="2">IF(D37&lt;$B$32,$B$34,$B$34+$B$29)</f>
        <v>25</v>
      </c>
      <c r="E39" s="38">
        <f t="shared" si="2"/>
        <v>25</v>
      </c>
      <c r="F39" s="38">
        <f t="shared" si="2"/>
        <v>25</v>
      </c>
      <c r="G39" s="38">
        <f t="shared" si="2"/>
        <v>25</v>
      </c>
      <c r="H39" s="38">
        <f t="shared" si="2"/>
        <v>25</v>
      </c>
      <c r="I39" s="38">
        <f t="shared" si="2"/>
        <v>25</v>
      </c>
      <c r="J39" s="38">
        <f t="shared" si="2"/>
        <v>25</v>
      </c>
      <c r="K39" s="38">
        <f t="shared" si="2"/>
        <v>25</v>
      </c>
      <c r="L39" s="38">
        <f t="shared" si="2"/>
        <v>1025</v>
      </c>
    </row>
    <row r="40" spans="1:12" x14ac:dyDescent="0.2">
      <c r="A40" s="31" t="s">
        <v>87</v>
      </c>
      <c r="C40" s="39">
        <f>D19</f>
        <v>3.7900000000000003E-2</v>
      </c>
      <c r="D40" s="39">
        <f>D20</f>
        <v>3.7000000000000005E-2</v>
      </c>
      <c r="E40" s="40">
        <f>(D40+F40)/2</f>
        <v>3.6500000000000005E-2</v>
      </c>
      <c r="F40" s="39">
        <f>D21</f>
        <v>3.6000000000000004E-2</v>
      </c>
      <c r="G40" s="40">
        <f>(F40+H40)/2</f>
        <v>3.6000000000000004E-2</v>
      </c>
      <c r="H40" s="39">
        <f>D22</f>
        <v>3.6000000000000004E-2</v>
      </c>
      <c r="I40" s="40">
        <f>(H40+J40)/2</f>
        <v>3.7275000000000003E-2</v>
      </c>
      <c r="J40" s="40">
        <f>(H40+L40)/2</f>
        <v>3.8550000000000001E-2</v>
      </c>
      <c r="K40" s="40">
        <f>(J40+L40)/2</f>
        <v>3.9824999999999999E-2</v>
      </c>
      <c r="L40" s="39">
        <f>D25</f>
        <v>4.1100000000000005E-2</v>
      </c>
    </row>
    <row r="41" spans="1:12" x14ac:dyDescent="0.2">
      <c r="A41" s="31" t="s">
        <v>17</v>
      </c>
      <c r="C41" s="41">
        <f>-PV(C40/$B$31,C37,0,C39)</f>
        <v>24.535060601599685</v>
      </c>
      <c r="D41" s="41">
        <f t="shared" ref="D41:L41" si="3">-PV(D40/$B$31,D37,0,D39)</f>
        <v>24.100049911203367</v>
      </c>
      <c r="E41" s="41">
        <f t="shared" si="3"/>
        <v>23.679730338744967</v>
      </c>
      <c r="F41" s="41">
        <f t="shared" si="3"/>
        <v>23.278173278238199</v>
      </c>
      <c r="G41" s="41">
        <f t="shared" si="3"/>
        <v>22.86657492950707</v>
      </c>
      <c r="H41" s="41">
        <f t="shared" si="3"/>
        <v>22.462254351185731</v>
      </c>
      <c r="I41" s="41">
        <f t="shared" si="3"/>
        <v>21.968600298113209</v>
      </c>
      <c r="J41" s="41">
        <f t="shared" si="3"/>
        <v>21.458977790583393</v>
      </c>
      <c r="K41" s="41">
        <f t="shared" si="3"/>
        <v>20.935039183493508</v>
      </c>
      <c r="L41" s="41">
        <f t="shared" si="3"/>
        <v>836.33639205668646</v>
      </c>
    </row>
    <row r="42" spans="1:12" x14ac:dyDescent="0.2">
      <c r="A42" s="31" t="s">
        <v>92</v>
      </c>
      <c r="B42" s="41">
        <f>SUM(C41:L41)</f>
        <v>1041.6208527393555</v>
      </c>
    </row>
    <row r="43" spans="1:12" x14ac:dyDescent="0.2">
      <c r="A43" s="31" t="s">
        <v>93</v>
      </c>
      <c r="B43" s="40">
        <f>RATE(B32,B34,-B42,B29)*2</f>
        <v>4.0715632437428761E-2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9456-DB79-BA40-9FFF-F7C3FCAD6966}">
  <dimension ref="B9:AF218"/>
  <sheetViews>
    <sheetView topLeftCell="L1" zoomScale="66" workbookViewId="0">
      <selection activeCell="V18" sqref="V18:AF18"/>
    </sheetView>
  </sheetViews>
  <sheetFormatPr baseColWidth="10" defaultRowHeight="15" x14ac:dyDescent="0.2"/>
  <sheetData>
    <row r="9" spans="2:32" ht="20" x14ac:dyDescent="0.2">
      <c r="B9" s="28" t="s">
        <v>67</v>
      </c>
      <c r="C9" s="28" t="s">
        <v>68</v>
      </c>
      <c r="D9" s="28" t="s">
        <v>69</v>
      </c>
      <c r="E9" s="28" t="s">
        <v>70</v>
      </c>
      <c r="F9" s="28" t="s">
        <v>71</v>
      </c>
      <c r="G9" s="28" t="s">
        <v>72</v>
      </c>
      <c r="H9" s="28" t="s">
        <v>73</v>
      </c>
      <c r="I9" s="28" t="s">
        <v>74</v>
      </c>
      <c r="J9" s="28" t="s">
        <v>75</v>
      </c>
      <c r="K9" s="28" t="s">
        <v>76</v>
      </c>
      <c r="L9" s="28" t="s">
        <v>77</v>
      </c>
      <c r="M9" s="28" t="s">
        <v>78</v>
      </c>
      <c r="N9" s="28" t="s">
        <v>79</v>
      </c>
      <c r="O9" s="28" t="s">
        <v>80</v>
      </c>
      <c r="R9" s="28" t="s">
        <v>82</v>
      </c>
      <c r="S9" s="28" t="s">
        <v>67</v>
      </c>
      <c r="T9" s="28"/>
      <c r="U9" s="28"/>
      <c r="V9" s="28" t="s">
        <v>70</v>
      </c>
      <c r="W9" s="28"/>
      <c r="X9" s="28" t="s">
        <v>72</v>
      </c>
      <c r="Y9" s="28" t="s">
        <v>73</v>
      </c>
      <c r="Z9" s="28" t="s">
        <v>74</v>
      </c>
      <c r="AA9" s="28" t="s">
        <v>75</v>
      </c>
      <c r="AB9" s="28" t="s">
        <v>76</v>
      </c>
      <c r="AC9" s="28" t="s">
        <v>77</v>
      </c>
      <c r="AD9" s="28" t="s">
        <v>78</v>
      </c>
      <c r="AE9" s="28" t="s">
        <v>79</v>
      </c>
      <c r="AF9" s="28" t="s">
        <v>80</v>
      </c>
    </row>
    <row r="10" spans="2:32" x14ac:dyDescent="0.2">
      <c r="B10" s="29">
        <v>45659</v>
      </c>
      <c r="C10" s="30">
        <v>4.45</v>
      </c>
      <c r="D10" s="30" t="s">
        <v>81</v>
      </c>
      <c r="E10" s="30">
        <v>4.3600000000000003</v>
      </c>
      <c r="F10" s="30">
        <v>4.3600000000000003</v>
      </c>
      <c r="G10" s="30">
        <v>4.3099999999999996</v>
      </c>
      <c r="H10" s="30">
        <v>4.25</v>
      </c>
      <c r="I10" s="30">
        <v>4.17</v>
      </c>
      <c r="J10" s="30">
        <v>4.25</v>
      </c>
      <c r="K10" s="30">
        <v>4.29</v>
      </c>
      <c r="L10" s="30">
        <v>4.38</v>
      </c>
      <c r="M10" s="30">
        <v>4.47</v>
      </c>
      <c r="N10" s="30">
        <v>4.57</v>
      </c>
      <c r="O10" s="30">
        <v>4.8600000000000003</v>
      </c>
      <c r="P10" s="30">
        <v>4.79</v>
      </c>
      <c r="R10" s="29">
        <v>45961</v>
      </c>
      <c r="S10" s="30">
        <v>4.0599999999999996</v>
      </c>
      <c r="T10" s="30"/>
      <c r="U10" s="30"/>
      <c r="V10" s="30">
        <v>3.89</v>
      </c>
      <c r="W10" s="30"/>
      <c r="X10" s="30">
        <v>3.79</v>
      </c>
      <c r="Y10" s="30">
        <v>3.7</v>
      </c>
      <c r="Z10" s="30">
        <v>3.6</v>
      </c>
      <c r="AA10" s="30">
        <v>3.6</v>
      </c>
      <c r="AB10" s="30">
        <v>3.71</v>
      </c>
      <c r="AC10" s="30">
        <v>3.89</v>
      </c>
      <c r="AD10" s="30">
        <v>4.1100000000000003</v>
      </c>
      <c r="AE10" s="30">
        <v>4.6500000000000004</v>
      </c>
      <c r="AF10" s="30">
        <v>4.67</v>
      </c>
    </row>
    <row r="11" spans="2:32" x14ac:dyDescent="0.2">
      <c r="B11" s="29">
        <v>45660</v>
      </c>
      <c r="C11" s="30">
        <v>4.4400000000000004</v>
      </c>
      <c r="D11" s="30" t="s">
        <v>81</v>
      </c>
      <c r="E11" s="30">
        <v>4.3499999999999996</v>
      </c>
      <c r="F11" s="30">
        <v>4.34</v>
      </c>
      <c r="G11" s="30">
        <v>4.3099999999999996</v>
      </c>
      <c r="H11" s="30">
        <v>4.25</v>
      </c>
      <c r="I11" s="30">
        <v>4.18</v>
      </c>
      <c r="J11" s="30">
        <v>4.28</v>
      </c>
      <c r="K11" s="30">
        <v>4.32</v>
      </c>
      <c r="L11" s="30">
        <v>4.41</v>
      </c>
      <c r="M11" s="30">
        <v>4.51</v>
      </c>
      <c r="N11" s="30">
        <v>4.5999999999999996</v>
      </c>
      <c r="O11" s="30">
        <v>4.88</v>
      </c>
      <c r="P11" s="30">
        <v>4.82</v>
      </c>
    </row>
    <row r="12" spans="2:32" x14ac:dyDescent="0.2">
      <c r="B12" s="29">
        <v>45663</v>
      </c>
      <c r="C12" s="30">
        <v>4.43</v>
      </c>
      <c r="D12" s="30" t="s">
        <v>81</v>
      </c>
      <c r="E12" s="30">
        <v>4.3600000000000003</v>
      </c>
      <c r="F12" s="30">
        <v>4.3499999999999996</v>
      </c>
      <c r="G12" s="30">
        <v>4.3099999999999996</v>
      </c>
      <c r="H12" s="30">
        <v>4.24</v>
      </c>
      <c r="I12" s="30">
        <v>4.17</v>
      </c>
      <c r="J12" s="30">
        <v>4.28</v>
      </c>
      <c r="K12" s="30">
        <v>4.3</v>
      </c>
      <c r="L12" s="30">
        <v>4.42</v>
      </c>
      <c r="M12" s="30">
        <v>4.5199999999999996</v>
      </c>
      <c r="N12" s="30">
        <v>4.62</v>
      </c>
      <c r="O12" s="30">
        <v>4.91</v>
      </c>
      <c r="P12" s="30">
        <v>4.8499999999999996</v>
      </c>
      <c r="S12" s="35">
        <f>S10/100</f>
        <v>4.0599999999999997E-2</v>
      </c>
      <c r="T12" s="35"/>
      <c r="U12" s="35"/>
      <c r="V12" s="35">
        <f t="shared" ref="V12:AF12" si="0">V10/100</f>
        <v>3.8900000000000004E-2</v>
      </c>
      <c r="W12" s="35"/>
      <c r="X12" s="35">
        <f t="shared" si="0"/>
        <v>3.7900000000000003E-2</v>
      </c>
      <c r="Y12" s="35">
        <f t="shared" si="0"/>
        <v>3.7000000000000005E-2</v>
      </c>
      <c r="Z12" s="35">
        <f t="shared" si="0"/>
        <v>3.6000000000000004E-2</v>
      </c>
      <c r="AA12" s="35">
        <f t="shared" si="0"/>
        <v>3.6000000000000004E-2</v>
      </c>
      <c r="AB12" s="35">
        <f t="shared" si="0"/>
        <v>3.7100000000000001E-2</v>
      </c>
      <c r="AC12" s="35">
        <f t="shared" si="0"/>
        <v>3.8900000000000004E-2</v>
      </c>
      <c r="AD12" s="35">
        <f t="shared" si="0"/>
        <v>4.1100000000000005E-2</v>
      </c>
      <c r="AE12" s="35">
        <f t="shared" si="0"/>
        <v>4.6500000000000007E-2</v>
      </c>
      <c r="AF12" s="35">
        <f t="shared" si="0"/>
        <v>4.6699999999999998E-2</v>
      </c>
    </row>
    <row r="13" spans="2:32" x14ac:dyDescent="0.2">
      <c r="B13" s="29">
        <v>45664</v>
      </c>
      <c r="C13" s="30">
        <v>4.42</v>
      </c>
      <c r="D13" s="30" t="s">
        <v>81</v>
      </c>
      <c r="E13" s="30">
        <v>4.3499999999999996</v>
      </c>
      <c r="F13" s="30">
        <v>4.3499999999999996</v>
      </c>
      <c r="G13" s="30">
        <v>4.3099999999999996</v>
      </c>
      <c r="H13" s="30">
        <v>4.24</v>
      </c>
      <c r="I13" s="30">
        <v>4.1900000000000004</v>
      </c>
      <c r="J13" s="30">
        <v>4.3</v>
      </c>
      <c r="K13" s="30">
        <v>4.33</v>
      </c>
      <c r="L13" s="30">
        <v>4.46</v>
      </c>
      <c r="M13" s="30">
        <v>4.57</v>
      </c>
      <c r="N13" s="30">
        <v>4.67</v>
      </c>
      <c r="O13" s="30">
        <v>4.97</v>
      </c>
      <c r="P13" s="30">
        <v>4.91</v>
      </c>
    </row>
    <row r="14" spans="2:32" x14ac:dyDescent="0.2">
      <c r="B14" s="29">
        <v>45665</v>
      </c>
      <c r="C14" s="30">
        <v>4.41</v>
      </c>
      <c r="D14" s="30" t="s">
        <v>81</v>
      </c>
      <c r="E14" s="30">
        <v>4.34</v>
      </c>
      <c r="F14" s="30">
        <v>4.3499999999999996</v>
      </c>
      <c r="G14" s="30">
        <v>4.3099999999999996</v>
      </c>
      <c r="H14" s="30">
        <v>4.25</v>
      </c>
      <c r="I14" s="30">
        <v>4.1900000000000004</v>
      </c>
      <c r="J14" s="30">
        <v>4.28</v>
      </c>
      <c r="K14" s="30">
        <v>4.3099999999999996</v>
      </c>
      <c r="L14" s="30">
        <v>4.45</v>
      </c>
      <c r="M14" s="30">
        <v>4.5599999999999996</v>
      </c>
      <c r="N14" s="30">
        <v>4.67</v>
      </c>
      <c r="O14" s="30">
        <v>4.97</v>
      </c>
      <c r="P14" s="30">
        <v>4.91</v>
      </c>
    </row>
    <row r="15" spans="2:32" x14ac:dyDescent="0.2">
      <c r="B15" s="29">
        <v>45666</v>
      </c>
      <c r="C15" s="30">
        <v>4.4400000000000004</v>
      </c>
      <c r="D15" s="30" t="s">
        <v>81</v>
      </c>
      <c r="E15" s="30">
        <v>4.3600000000000003</v>
      </c>
      <c r="F15" s="30">
        <v>4.3499999999999996</v>
      </c>
      <c r="G15" s="30">
        <v>4.3099999999999996</v>
      </c>
      <c r="H15" s="30">
        <v>4.24</v>
      </c>
      <c r="I15" s="30">
        <v>4.16</v>
      </c>
      <c r="J15" s="30">
        <v>4.2699999999999996</v>
      </c>
      <c r="K15" s="30">
        <v>4.3099999999999996</v>
      </c>
      <c r="L15" s="30">
        <v>4.46</v>
      </c>
      <c r="M15" s="30">
        <v>4.57</v>
      </c>
      <c r="N15" s="30">
        <v>4.68</v>
      </c>
      <c r="O15" s="30">
        <v>4.9800000000000004</v>
      </c>
      <c r="P15" s="30">
        <v>4.92</v>
      </c>
      <c r="S15" s="35">
        <v>4.0599999999999997E-2</v>
      </c>
      <c r="T15" s="35"/>
      <c r="U15" s="35"/>
      <c r="V15" s="35">
        <v>3.8900000000000004E-2</v>
      </c>
      <c r="W15" s="35"/>
      <c r="X15" s="35">
        <v>3.7900000000000003E-2</v>
      </c>
      <c r="Y15" s="35">
        <v>3.7000000000000005E-2</v>
      </c>
      <c r="Z15" s="35">
        <v>3.6000000000000004E-2</v>
      </c>
      <c r="AA15" s="35">
        <v>3.6000000000000004E-2</v>
      </c>
      <c r="AB15" s="35">
        <v>3.7100000000000001E-2</v>
      </c>
      <c r="AC15" s="35">
        <v>3.8900000000000004E-2</v>
      </c>
      <c r="AD15" s="35">
        <v>4.1100000000000005E-2</v>
      </c>
      <c r="AE15" s="35">
        <v>4.6500000000000007E-2</v>
      </c>
      <c r="AF15" s="35">
        <v>4.6699999999999998E-2</v>
      </c>
    </row>
    <row r="16" spans="2:32" x14ac:dyDescent="0.2">
      <c r="B16" s="29">
        <v>45667</v>
      </c>
      <c r="C16" s="30">
        <v>4.42</v>
      </c>
      <c r="D16" s="30" t="s">
        <v>81</v>
      </c>
      <c r="E16" s="30">
        <v>4.3499999999999996</v>
      </c>
      <c r="F16" s="30">
        <v>4.3600000000000003</v>
      </c>
      <c r="G16" s="30">
        <v>4.33</v>
      </c>
      <c r="H16" s="30">
        <v>4.2699999999999996</v>
      </c>
      <c r="I16" s="30">
        <v>4.25</v>
      </c>
      <c r="J16" s="30">
        <v>4.4000000000000004</v>
      </c>
      <c r="K16" s="30">
        <v>4.46</v>
      </c>
      <c r="L16" s="30">
        <v>4.59</v>
      </c>
      <c r="M16" s="30">
        <v>4.7</v>
      </c>
      <c r="N16" s="30">
        <v>4.7699999999999996</v>
      </c>
      <c r="O16" s="30">
        <v>5.04</v>
      </c>
      <c r="P16" s="30">
        <v>4.96</v>
      </c>
    </row>
    <row r="17" spans="2:32" x14ac:dyDescent="0.2">
      <c r="B17" s="29">
        <v>45670</v>
      </c>
      <c r="C17" s="30">
        <v>4.42</v>
      </c>
      <c r="D17" s="30" t="s">
        <v>81</v>
      </c>
      <c r="E17" s="30">
        <v>4.3600000000000003</v>
      </c>
      <c r="F17" s="30">
        <v>4.37</v>
      </c>
      <c r="G17" s="30">
        <v>4.34</v>
      </c>
      <c r="H17" s="30">
        <v>4.3</v>
      </c>
      <c r="I17" s="30">
        <v>4.24</v>
      </c>
      <c r="J17" s="30">
        <v>4.4000000000000004</v>
      </c>
      <c r="K17" s="30">
        <v>4.49</v>
      </c>
      <c r="L17" s="30">
        <v>4.6100000000000003</v>
      </c>
      <c r="M17" s="30">
        <v>4.71</v>
      </c>
      <c r="N17" s="30">
        <v>4.79</v>
      </c>
      <c r="O17" s="30">
        <v>5.05</v>
      </c>
      <c r="P17" s="30">
        <v>4.97</v>
      </c>
    </row>
    <row r="18" spans="2:32" x14ac:dyDescent="0.2">
      <c r="B18" s="29">
        <v>45671</v>
      </c>
      <c r="C18" s="30">
        <v>4.42</v>
      </c>
      <c r="D18" s="30" t="s">
        <v>81</v>
      </c>
      <c r="E18" s="30">
        <v>4.3499999999999996</v>
      </c>
      <c r="F18" s="30">
        <v>4.3600000000000003</v>
      </c>
      <c r="G18" s="30">
        <v>4.33</v>
      </c>
      <c r="H18" s="30">
        <v>4.29</v>
      </c>
      <c r="I18" s="30">
        <v>4.22</v>
      </c>
      <c r="J18" s="30">
        <v>4.37</v>
      </c>
      <c r="K18" s="30">
        <v>4.46</v>
      </c>
      <c r="L18" s="30">
        <v>4.59</v>
      </c>
      <c r="M18" s="30">
        <v>4.7</v>
      </c>
      <c r="N18" s="30">
        <v>4.78</v>
      </c>
      <c r="O18" s="30">
        <v>5.0599999999999996</v>
      </c>
      <c r="P18" s="30">
        <v>4.9800000000000004</v>
      </c>
      <c r="V18" s="35">
        <v>4.0599999999999997E-2</v>
      </c>
      <c r="W18" s="35">
        <v>3.8900000000000004E-2</v>
      </c>
      <c r="X18" s="35">
        <v>3.7900000000000003E-2</v>
      </c>
      <c r="Y18" s="35">
        <v>3.7000000000000005E-2</v>
      </c>
      <c r="Z18" s="35">
        <v>3.6000000000000004E-2</v>
      </c>
      <c r="AA18" s="35">
        <v>3.6000000000000004E-2</v>
      </c>
      <c r="AB18" s="35">
        <v>3.7100000000000001E-2</v>
      </c>
      <c r="AC18" s="35">
        <v>3.8900000000000004E-2</v>
      </c>
      <c r="AD18" s="35">
        <v>4.1100000000000005E-2</v>
      </c>
      <c r="AE18" s="35">
        <v>4.6500000000000007E-2</v>
      </c>
      <c r="AF18" s="35">
        <v>4.6699999999999998E-2</v>
      </c>
    </row>
    <row r="19" spans="2:32" x14ac:dyDescent="0.2">
      <c r="B19" s="29">
        <v>45672</v>
      </c>
      <c r="C19" s="30">
        <v>4.4000000000000004</v>
      </c>
      <c r="D19" s="30" t="s">
        <v>81</v>
      </c>
      <c r="E19" s="30">
        <v>4.34</v>
      </c>
      <c r="F19" s="30">
        <v>4.3499999999999996</v>
      </c>
      <c r="G19" s="30">
        <v>4.32</v>
      </c>
      <c r="H19" s="30">
        <v>4.26</v>
      </c>
      <c r="I19" s="30">
        <v>4.1900000000000004</v>
      </c>
      <c r="J19" s="30">
        <v>4.2699999999999996</v>
      </c>
      <c r="K19" s="30">
        <v>4.34</v>
      </c>
      <c r="L19" s="30">
        <v>4.45</v>
      </c>
      <c r="M19" s="30">
        <v>4.55</v>
      </c>
      <c r="N19" s="30">
        <v>4.66</v>
      </c>
      <c r="O19" s="30">
        <v>4.95</v>
      </c>
      <c r="P19" s="30">
        <v>4.88</v>
      </c>
    </row>
    <row r="20" spans="2:32" x14ac:dyDescent="0.2">
      <c r="B20" s="29">
        <v>45673</v>
      </c>
      <c r="C20" s="30">
        <v>4.43</v>
      </c>
      <c r="D20" s="30" t="s">
        <v>81</v>
      </c>
      <c r="E20" s="30">
        <v>4.3600000000000003</v>
      </c>
      <c r="F20" s="30">
        <v>4.34</v>
      </c>
      <c r="G20" s="30">
        <v>4.32</v>
      </c>
      <c r="H20" s="30">
        <v>4.26</v>
      </c>
      <c r="I20" s="30">
        <v>4.18</v>
      </c>
      <c r="J20" s="30">
        <v>4.2300000000000004</v>
      </c>
      <c r="K20" s="30">
        <v>4.29</v>
      </c>
      <c r="L20" s="30">
        <v>4.3899999999999997</v>
      </c>
      <c r="M20" s="30">
        <v>4.5</v>
      </c>
      <c r="N20" s="30">
        <v>4.6100000000000003</v>
      </c>
      <c r="O20" s="30">
        <v>4.91</v>
      </c>
      <c r="P20" s="30">
        <v>4.84</v>
      </c>
    </row>
    <row r="21" spans="2:32" x14ac:dyDescent="0.2">
      <c r="B21" s="29">
        <v>45674</v>
      </c>
      <c r="C21" s="30">
        <v>4.43</v>
      </c>
      <c r="D21" s="30" t="s">
        <v>81</v>
      </c>
      <c r="E21" s="30">
        <v>4.3499999999999996</v>
      </c>
      <c r="F21" s="30">
        <v>4.34</v>
      </c>
      <c r="G21" s="30">
        <v>4.32</v>
      </c>
      <c r="H21" s="30">
        <v>4.28</v>
      </c>
      <c r="I21" s="30">
        <v>4.21</v>
      </c>
      <c r="J21" s="30">
        <v>4.2699999999999996</v>
      </c>
      <c r="K21" s="30">
        <v>4.33</v>
      </c>
      <c r="L21" s="30">
        <v>4.42</v>
      </c>
      <c r="M21" s="30">
        <v>4.5199999999999996</v>
      </c>
      <c r="N21" s="30">
        <v>4.6100000000000003</v>
      </c>
      <c r="O21" s="30">
        <v>4.91</v>
      </c>
      <c r="P21" s="30">
        <v>4.84</v>
      </c>
    </row>
    <row r="22" spans="2:32" x14ac:dyDescent="0.2">
      <c r="B22" s="29">
        <v>45678</v>
      </c>
      <c r="C22" s="30">
        <v>4.42</v>
      </c>
      <c r="D22" s="30" t="s">
        <v>81</v>
      </c>
      <c r="E22" s="30">
        <v>4.3499999999999996</v>
      </c>
      <c r="F22" s="30">
        <v>4.3600000000000003</v>
      </c>
      <c r="G22" s="30">
        <v>4.33</v>
      </c>
      <c r="H22" s="30">
        <v>4.28</v>
      </c>
      <c r="I22" s="30">
        <v>4.21</v>
      </c>
      <c r="J22" s="30">
        <v>4.29</v>
      </c>
      <c r="K22" s="30">
        <v>4.33</v>
      </c>
      <c r="L22" s="30">
        <v>4.4000000000000004</v>
      </c>
      <c r="M22" s="30">
        <v>4.49</v>
      </c>
      <c r="N22" s="30">
        <v>4.57</v>
      </c>
      <c r="O22" s="30">
        <v>4.87</v>
      </c>
      <c r="P22" s="30">
        <v>4.8</v>
      </c>
    </row>
    <row r="23" spans="2:32" x14ac:dyDescent="0.2">
      <c r="B23" s="29">
        <v>45679</v>
      </c>
      <c r="C23" s="30">
        <v>4.42</v>
      </c>
      <c r="D23" s="30" t="s">
        <v>81</v>
      </c>
      <c r="E23" s="30">
        <v>4.3499999999999996</v>
      </c>
      <c r="F23" s="30">
        <v>4.3600000000000003</v>
      </c>
      <c r="G23" s="30">
        <v>4.32</v>
      </c>
      <c r="H23" s="30">
        <v>4.28</v>
      </c>
      <c r="I23" s="30">
        <v>4.2</v>
      </c>
      <c r="J23" s="30">
        <v>4.29</v>
      </c>
      <c r="K23" s="30">
        <v>4.34</v>
      </c>
      <c r="L23" s="30">
        <v>4.43</v>
      </c>
      <c r="M23" s="30">
        <v>4.51</v>
      </c>
      <c r="N23" s="30">
        <v>4.5999999999999996</v>
      </c>
      <c r="O23" s="30">
        <v>4.8899999999999997</v>
      </c>
      <c r="P23" s="30">
        <v>4.82</v>
      </c>
    </row>
    <row r="24" spans="2:32" x14ac:dyDescent="0.2">
      <c r="B24" s="29">
        <v>45680</v>
      </c>
      <c r="C24" s="30">
        <v>4.45</v>
      </c>
      <c r="D24" s="30" t="s">
        <v>81</v>
      </c>
      <c r="E24" s="30">
        <v>4.3600000000000003</v>
      </c>
      <c r="F24" s="30">
        <v>4.3600000000000003</v>
      </c>
      <c r="G24" s="30">
        <v>4.32</v>
      </c>
      <c r="H24" s="30">
        <v>4.2699999999999996</v>
      </c>
      <c r="I24" s="30">
        <v>4.18</v>
      </c>
      <c r="J24" s="30">
        <v>4.29</v>
      </c>
      <c r="K24" s="30">
        <v>4.3499999999999996</v>
      </c>
      <c r="L24" s="30">
        <v>4.45</v>
      </c>
      <c r="M24" s="30">
        <v>4.55</v>
      </c>
      <c r="N24" s="30">
        <v>4.6500000000000004</v>
      </c>
      <c r="O24" s="30">
        <v>4.92</v>
      </c>
      <c r="P24" s="30">
        <v>4.87</v>
      </c>
    </row>
    <row r="25" spans="2:32" x14ac:dyDescent="0.2">
      <c r="B25" s="29">
        <v>45681</v>
      </c>
      <c r="C25" s="30">
        <v>4.45</v>
      </c>
      <c r="D25" s="30" t="s">
        <v>81</v>
      </c>
      <c r="E25" s="30">
        <v>4.3600000000000003</v>
      </c>
      <c r="F25" s="30">
        <v>4.3499999999999996</v>
      </c>
      <c r="G25" s="30">
        <v>4.32</v>
      </c>
      <c r="H25" s="30">
        <v>4.25</v>
      </c>
      <c r="I25" s="30">
        <v>4.17</v>
      </c>
      <c r="J25" s="30">
        <v>4.2699999999999996</v>
      </c>
      <c r="K25" s="30">
        <v>4.33</v>
      </c>
      <c r="L25" s="30">
        <v>4.43</v>
      </c>
      <c r="M25" s="30">
        <v>4.53</v>
      </c>
      <c r="N25" s="30">
        <v>4.63</v>
      </c>
      <c r="O25" s="30">
        <v>4.91</v>
      </c>
      <c r="P25" s="30">
        <v>4.8499999999999996</v>
      </c>
    </row>
    <row r="26" spans="2:32" x14ac:dyDescent="0.2">
      <c r="B26" s="29">
        <v>45684</v>
      </c>
      <c r="C26" s="30">
        <v>4.4400000000000004</v>
      </c>
      <c r="D26" s="30" t="s">
        <v>81</v>
      </c>
      <c r="E26" s="30">
        <v>4.3600000000000003</v>
      </c>
      <c r="F26" s="30">
        <v>4.32</v>
      </c>
      <c r="G26" s="30">
        <v>4.3</v>
      </c>
      <c r="H26" s="30">
        <v>4.25</v>
      </c>
      <c r="I26" s="30">
        <v>4.13</v>
      </c>
      <c r="J26" s="30">
        <v>4.17</v>
      </c>
      <c r="K26" s="30">
        <v>4.24</v>
      </c>
      <c r="L26" s="30">
        <v>4.32</v>
      </c>
      <c r="M26" s="30">
        <v>4.43</v>
      </c>
      <c r="N26" s="30">
        <v>4.53</v>
      </c>
      <c r="O26" s="30">
        <v>4.82</v>
      </c>
      <c r="P26" s="30">
        <v>4.76</v>
      </c>
    </row>
    <row r="27" spans="2:32" x14ac:dyDescent="0.2">
      <c r="B27" s="29">
        <v>45685</v>
      </c>
      <c r="C27" s="30">
        <v>4.4400000000000004</v>
      </c>
      <c r="D27" s="30" t="s">
        <v>81</v>
      </c>
      <c r="E27" s="30">
        <v>4.3499999999999996</v>
      </c>
      <c r="F27" s="30">
        <v>4.3099999999999996</v>
      </c>
      <c r="G27" s="30">
        <v>4.3</v>
      </c>
      <c r="H27" s="30">
        <v>4.26</v>
      </c>
      <c r="I27" s="30">
        <v>4.1399999999999997</v>
      </c>
      <c r="J27" s="30">
        <v>4.1900000000000004</v>
      </c>
      <c r="K27" s="30">
        <v>4.25</v>
      </c>
      <c r="L27" s="30">
        <v>4.33</v>
      </c>
      <c r="M27" s="30">
        <v>4.43</v>
      </c>
      <c r="N27" s="30">
        <v>4.55</v>
      </c>
      <c r="O27" s="30">
        <v>4.84</v>
      </c>
      <c r="P27" s="30">
        <v>4.78</v>
      </c>
    </row>
    <row r="28" spans="2:32" x14ac:dyDescent="0.2">
      <c r="B28" s="29">
        <v>45686</v>
      </c>
      <c r="C28" s="30">
        <v>4.43</v>
      </c>
      <c r="D28" s="30" t="s">
        <v>81</v>
      </c>
      <c r="E28" s="30">
        <v>4.34</v>
      </c>
      <c r="F28" s="30">
        <v>4.3099999999999996</v>
      </c>
      <c r="G28" s="30">
        <v>4.34</v>
      </c>
      <c r="H28" s="30">
        <v>4.2699999999999996</v>
      </c>
      <c r="I28" s="30">
        <v>4.17</v>
      </c>
      <c r="J28" s="30">
        <v>4.21</v>
      </c>
      <c r="K28" s="30">
        <v>4.2699999999999996</v>
      </c>
      <c r="L28" s="30">
        <v>4.3499999999999996</v>
      </c>
      <c r="M28" s="30">
        <v>4.4400000000000004</v>
      </c>
      <c r="N28" s="30">
        <v>4.55</v>
      </c>
      <c r="O28" s="30">
        <v>4.8499999999999996</v>
      </c>
      <c r="P28" s="30">
        <v>4.79</v>
      </c>
    </row>
    <row r="29" spans="2:32" x14ac:dyDescent="0.2">
      <c r="B29" s="29">
        <v>45687</v>
      </c>
      <c r="C29" s="30">
        <v>4.37</v>
      </c>
      <c r="D29" s="30" t="s">
        <v>81</v>
      </c>
      <c r="E29" s="30">
        <v>4.38</v>
      </c>
      <c r="F29" s="30">
        <v>4.3</v>
      </c>
      <c r="G29" s="30">
        <v>4.33</v>
      </c>
      <c r="H29" s="30">
        <v>4.2699999999999996</v>
      </c>
      <c r="I29" s="30">
        <v>4.16</v>
      </c>
      <c r="J29" s="30">
        <v>4.18</v>
      </c>
      <c r="K29" s="30">
        <v>4.24</v>
      </c>
      <c r="L29" s="30">
        <v>4.3099999999999996</v>
      </c>
      <c r="M29" s="30">
        <v>4.41</v>
      </c>
      <c r="N29" s="30">
        <v>4.5199999999999996</v>
      </c>
      <c r="O29" s="30">
        <v>4.8099999999999996</v>
      </c>
      <c r="P29" s="30">
        <v>4.76</v>
      </c>
    </row>
    <row r="30" spans="2:32" x14ac:dyDescent="0.2">
      <c r="B30" s="29">
        <v>45688</v>
      </c>
      <c r="C30" s="30">
        <v>4.37</v>
      </c>
      <c r="D30" s="30" t="s">
        <v>81</v>
      </c>
      <c r="E30" s="30">
        <v>4.37</v>
      </c>
      <c r="F30" s="30">
        <v>4.3099999999999996</v>
      </c>
      <c r="G30" s="30">
        <v>4.33</v>
      </c>
      <c r="H30" s="30">
        <v>4.28</v>
      </c>
      <c r="I30" s="30">
        <v>4.17</v>
      </c>
      <c r="J30" s="30">
        <v>4.22</v>
      </c>
      <c r="K30" s="30">
        <v>4.2699999999999996</v>
      </c>
      <c r="L30" s="30">
        <v>4.3600000000000003</v>
      </c>
      <c r="M30" s="30">
        <v>4.47</v>
      </c>
      <c r="N30" s="30">
        <v>4.58</v>
      </c>
      <c r="O30" s="30">
        <v>4.88</v>
      </c>
      <c r="P30" s="30">
        <v>4.83</v>
      </c>
    </row>
    <row r="31" spans="2:32" x14ac:dyDescent="0.2">
      <c r="B31" s="29">
        <v>45691</v>
      </c>
      <c r="C31" s="30">
        <v>4.37</v>
      </c>
      <c r="D31" s="30" t="s">
        <v>81</v>
      </c>
      <c r="E31" s="30">
        <v>4.38</v>
      </c>
      <c r="F31" s="30">
        <v>4.34</v>
      </c>
      <c r="G31" s="30">
        <v>4.3499999999999996</v>
      </c>
      <c r="H31" s="30">
        <v>4.28</v>
      </c>
      <c r="I31" s="30">
        <v>4.2</v>
      </c>
      <c r="J31" s="30">
        <v>4.26</v>
      </c>
      <c r="K31" s="30">
        <v>4.28</v>
      </c>
      <c r="L31" s="30">
        <v>4.3499999999999996</v>
      </c>
      <c r="M31" s="30">
        <v>4.45</v>
      </c>
      <c r="N31" s="30">
        <v>4.54</v>
      </c>
      <c r="O31" s="30">
        <v>4.82</v>
      </c>
      <c r="P31" s="30">
        <v>4.7699999999999996</v>
      </c>
    </row>
    <row r="32" spans="2:32" x14ac:dyDescent="0.2">
      <c r="B32" s="29">
        <v>45692</v>
      </c>
      <c r="C32" s="30">
        <v>4.3600000000000003</v>
      </c>
      <c r="D32" s="30" t="s">
        <v>81</v>
      </c>
      <c r="E32" s="30">
        <v>4.38</v>
      </c>
      <c r="F32" s="30">
        <v>4.33</v>
      </c>
      <c r="G32" s="30">
        <v>4.3499999999999996</v>
      </c>
      <c r="H32" s="30">
        <v>4.2699999999999996</v>
      </c>
      <c r="I32" s="30">
        <v>4.18</v>
      </c>
      <c r="J32" s="30">
        <v>4.21</v>
      </c>
      <c r="K32" s="30">
        <v>4.25</v>
      </c>
      <c r="L32" s="30">
        <v>4.3099999999999996</v>
      </c>
      <c r="M32" s="30">
        <v>4.42</v>
      </c>
      <c r="N32" s="30">
        <v>4.5199999999999996</v>
      </c>
      <c r="O32" s="30">
        <v>4.8099999999999996</v>
      </c>
      <c r="P32" s="30">
        <v>4.75</v>
      </c>
    </row>
    <row r="33" spans="2:16" x14ac:dyDescent="0.2">
      <c r="B33" s="29">
        <v>45693</v>
      </c>
      <c r="C33" s="30">
        <v>4.3499999999999996</v>
      </c>
      <c r="D33" s="30" t="s">
        <v>81</v>
      </c>
      <c r="E33" s="30">
        <v>4.37</v>
      </c>
      <c r="F33" s="30">
        <v>4.33</v>
      </c>
      <c r="G33" s="30">
        <v>4.3499999999999996</v>
      </c>
      <c r="H33" s="30">
        <v>4.2699999999999996</v>
      </c>
      <c r="I33" s="30">
        <v>4.17</v>
      </c>
      <c r="J33" s="30">
        <v>4.17</v>
      </c>
      <c r="K33" s="30">
        <v>4.1900000000000004</v>
      </c>
      <c r="L33" s="30">
        <v>4.24</v>
      </c>
      <c r="M33" s="30">
        <v>4.33</v>
      </c>
      <c r="N33" s="30">
        <v>4.43</v>
      </c>
      <c r="O33" s="30">
        <v>4.6900000000000004</v>
      </c>
      <c r="P33" s="30">
        <v>4.6399999999999997</v>
      </c>
    </row>
    <row r="34" spans="2:16" x14ac:dyDescent="0.2">
      <c r="B34" s="29">
        <v>45694</v>
      </c>
      <c r="C34" s="30">
        <v>4.37</v>
      </c>
      <c r="D34" s="30" t="s">
        <v>81</v>
      </c>
      <c r="E34" s="30">
        <v>4.38</v>
      </c>
      <c r="F34" s="30">
        <v>4.34</v>
      </c>
      <c r="G34" s="30">
        <v>4.3600000000000003</v>
      </c>
      <c r="H34" s="30">
        <v>4.28</v>
      </c>
      <c r="I34" s="30">
        <v>4.1900000000000004</v>
      </c>
      <c r="J34" s="30">
        <v>4.21</v>
      </c>
      <c r="K34" s="30">
        <v>4.2300000000000004</v>
      </c>
      <c r="L34" s="30">
        <v>4.28</v>
      </c>
      <c r="M34" s="30">
        <v>4.3600000000000003</v>
      </c>
      <c r="N34" s="30">
        <v>4.45</v>
      </c>
      <c r="O34" s="30">
        <v>4.7</v>
      </c>
      <c r="P34" s="30">
        <v>4.6500000000000004</v>
      </c>
    </row>
    <row r="35" spans="2:16" x14ac:dyDescent="0.2">
      <c r="B35" s="29">
        <v>45695</v>
      </c>
      <c r="C35" s="30">
        <v>4.37</v>
      </c>
      <c r="D35" s="30" t="s">
        <v>81</v>
      </c>
      <c r="E35" s="30">
        <v>4.38</v>
      </c>
      <c r="F35" s="30">
        <v>4.3499999999999996</v>
      </c>
      <c r="G35" s="30">
        <v>4.37</v>
      </c>
      <c r="H35" s="30">
        <v>4.3</v>
      </c>
      <c r="I35" s="30">
        <v>4.25</v>
      </c>
      <c r="J35" s="30">
        <v>4.29</v>
      </c>
      <c r="K35" s="30">
        <v>4.3099999999999996</v>
      </c>
      <c r="L35" s="30">
        <v>4.34</v>
      </c>
      <c r="M35" s="30">
        <v>4.42</v>
      </c>
      <c r="N35" s="30">
        <v>4.49</v>
      </c>
      <c r="O35" s="30">
        <v>4.75</v>
      </c>
      <c r="P35" s="30">
        <v>4.6900000000000004</v>
      </c>
    </row>
    <row r="36" spans="2:16" x14ac:dyDescent="0.2">
      <c r="B36" s="29">
        <v>45698</v>
      </c>
      <c r="C36" s="30">
        <v>4.38</v>
      </c>
      <c r="D36" s="30" t="s">
        <v>81</v>
      </c>
      <c r="E36" s="30">
        <v>4.4000000000000004</v>
      </c>
      <c r="F36" s="30">
        <v>4.3499999999999996</v>
      </c>
      <c r="G36" s="30">
        <v>4.37</v>
      </c>
      <c r="H36" s="30">
        <v>4.3099999999999996</v>
      </c>
      <c r="I36" s="30">
        <v>4.24</v>
      </c>
      <c r="J36" s="30">
        <v>4.28</v>
      </c>
      <c r="K36" s="30">
        <v>4.3</v>
      </c>
      <c r="L36" s="30">
        <v>4.34</v>
      </c>
      <c r="M36" s="30">
        <v>4.42</v>
      </c>
      <c r="N36" s="30">
        <v>4.51</v>
      </c>
      <c r="O36" s="30">
        <v>4.76</v>
      </c>
      <c r="P36" s="30">
        <v>4.71</v>
      </c>
    </row>
    <row r="37" spans="2:16" x14ac:dyDescent="0.2">
      <c r="B37" s="29">
        <v>45699</v>
      </c>
      <c r="C37" s="30">
        <v>4.38</v>
      </c>
      <c r="D37" s="30" t="s">
        <v>81</v>
      </c>
      <c r="E37" s="30">
        <v>4.4000000000000004</v>
      </c>
      <c r="F37" s="30">
        <v>4.3499999999999996</v>
      </c>
      <c r="G37" s="30">
        <v>4.37</v>
      </c>
      <c r="H37" s="30">
        <v>4.3099999999999996</v>
      </c>
      <c r="I37" s="30">
        <v>4.25</v>
      </c>
      <c r="J37" s="30">
        <v>4.29</v>
      </c>
      <c r="K37" s="30">
        <v>4.28</v>
      </c>
      <c r="L37" s="30">
        <v>4.37</v>
      </c>
      <c r="M37" s="30">
        <v>4.45</v>
      </c>
      <c r="N37" s="30">
        <v>4.54</v>
      </c>
      <c r="O37" s="30">
        <v>4.8</v>
      </c>
      <c r="P37" s="30">
        <v>4.75</v>
      </c>
    </row>
    <row r="38" spans="2:16" x14ac:dyDescent="0.2">
      <c r="B38" s="29">
        <v>45700</v>
      </c>
      <c r="C38" s="30">
        <v>4.38</v>
      </c>
      <c r="D38" s="30" t="s">
        <v>81</v>
      </c>
      <c r="E38" s="30">
        <v>4.3899999999999997</v>
      </c>
      <c r="F38" s="30">
        <v>4.3499999999999996</v>
      </c>
      <c r="G38" s="30">
        <v>4.3600000000000003</v>
      </c>
      <c r="H38" s="30">
        <v>4.33</v>
      </c>
      <c r="I38" s="30">
        <v>4.3</v>
      </c>
      <c r="J38" s="30">
        <v>4.3600000000000003</v>
      </c>
      <c r="K38" s="30">
        <v>4.37</v>
      </c>
      <c r="L38" s="30">
        <v>4.4800000000000004</v>
      </c>
      <c r="M38" s="30">
        <v>4.5599999999999996</v>
      </c>
      <c r="N38" s="30">
        <v>4.62</v>
      </c>
      <c r="O38" s="30">
        <v>4.9000000000000004</v>
      </c>
      <c r="P38" s="30">
        <v>4.83</v>
      </c>
    </row>
    <row r="39" spans="2:16" x14ac:dyDescent="0.2">
      <c r="B39" s="29">
        <v>45701</v>
      </c>
      <c r="C39" s="30">
        <v>4.37</v>
      </c>
      <c r="D39" s="30" t="s">
        <v>81</v>
      </c>
      <c r="E39" s="30">
        <v>4.3899999999999997</v>
      </c>
      <c r="F39" s="30">
        <v>4.34</v>
      </c>
      <c r="G39" s="30">
        <v>4.3499999999999996</v>
      </c>
      <c r="H39" s="30">
        <v>4.33</v>
      </c>
      <c r="I39" s="30">
        <v>4.2699999999999996</v>
      </c>
      <c r="J39" s="30">
        <v>4.3099999999999996</v>
      </c>
      <c r="K39" s="30">
        <v>4.3099999999999996</v>
      </c>
      <c r="L39" s="30">
        <v>4.3899999999999997</v>
      </c>
      <c r="M39" s="30">
        <v>4.46</v>
      </c>
      <c r="N39" s="30">
        <v>4.5199999999999996</v>
      </c>
      <c r="O39" s="30">
        <v>4.79</v>
      </c>
      <c r="P39" s="30">
        <v>4.72</v>
      </c>
    </row>
    <row r="40" spans="2:16" x14ac:dyDescent="0.2">
      <c r="B40" s="29">
        <v>45702</v>
      </c>
      <c r="C40" s="30">
        <v>4.37</v>
      </c>
      <c r="D40" s="30" t="s">
        <v>81</v>
      </c>
      <c r="E40" s="30">
        <v>4.38</v>
      </c>
      <c r="F40" s="30">
        <v>4.34</v>
      </c>
      <c r="G40" s="30">
        <v>4.3499999999999996</v>
      </c>
      <c r="H40" s="30">
        <v>4.32</v>
      </c>
      <c r="I40" s="30">
        <v>4.2300000000000004</v>
      </c>
      <c r="J40" s="30">
        <v>4.26</v>
      </c>
      <c r="K40" s="30">
        <v>4.26</v>
      </c>
      <c r="L40" s="30">
        <v>4.33</v>
      </c>
      <c r="M40" s="30">
        <v>4.41</v>
      </c>
      <c r="N40" s="30">
        <v>4.47</v>
      </c>
      <c r="O40" s="30">
        <v>4.75</v>
      </c>
      <c r="P40" s="30">
        <v>4.6900000000000004</v>
      </c>
    </row>
    <row r="41" spans="2:16" x14ac:dyDescent="0.2">
      <c r="B41" s="29">
        <v>45706</v>
      </c>
      <c r="C41" s="30">
        <v>4.38</v>
      </c>
      <c r="D41" s="30">
        <v>4.41</v>
      </c>
      <c r="E41" s="30">
        <v>4.38</v>
      </c>
      <c r="F41" s="30">
        <v>4.34</v>
      </c>
      <c r="G41" s="30">
        <v>4.37</v>
      </c>
      <c r="H41" s="30">
        <v>4.34</v>
      </c>
      <c r="I41" s="30">
        <v>4.24</v>
      </c>
      <c r="J41" s="30">
        <v>4.29</v>
      </c>
      <c r="K41" s="30">
        <v>4.33</v>
      </c>
      <c r="L41" s="30">
        <v>4.4000000000000004</v>
      </c>
      <c r="M41" s="30">
        <v>4.4800000000000004</v>
      </c>
      <c r="N41" s="30">
        <v>4.55</v>
      </c>
      <c r="O41" s="30">
        <v>4.83</v>
      </c>
      <c r="P41" s="30">
        <v>4.7699999999999996</v>
      </c>
    </row>
    <row r="42" spans="2:16" x14ac:dyDescent="0.2">
      <c r="B42" s="29">
        <v>45707</v>
      </c>
      <c r="C42" s="30">
        <v>4.38</v>
      </c>
      <c r="D42" s="30">
        <v>4.42</v>
      </c>
      <c r="E42" s="30">
        <v>4.38</v>
      </c>
      <c r="F42" s="30">
        <v>4.34</v>
      </c>
      <c r="G42" s="30">
        <v>4.3499999999999996</v>
      </c>
      <c r="H42" s="30">
        <v>4.34</v>
      </c>
      <c r="I42" s="30">
        <v>4.22</v>
      </c>
      <c r="J42" s="30">
        <v>4.28</v>
      </c>
      <c r="K42" s="30">
        <v>4.3</v>
      </c>
      <c r="L42" s="30">
        <v>4.37</v>
      </c>
      <c r="M42" s="30">
        <v>4.46</v>
      </c>
      <c r="N42" s="30">
        <v>4.53</v>
      </c>
      <c r="O42" s="30">
        <v>4.79</v>
      </c>
      <c r="P42" s="30">
        <v>4.76</v>
      </c>
    </row>
    <row r="43" spans="2:16" x14ac:dyDescent="0.2">
      <c r="B43" s="29">
        <v>45708</v>
      </c>
      <c r="C43" s="30">
        <v>4.37</v>
      </c>
      <c r="D43" s="30">
        <v>4.4000000000000004</v>
      </c>
      <c r="E43" s="30">
        <v>4.38</v>
      </c>
      <c r="F43" s="30">
        <v>4.33</v>
      </c>
      <c r="G43" s="30">
        <v>4.3499999999999996</v>
      </c>
      <c r="H43" s="30">
        <v>4.33</v>
      </c>
      <c r="I43" s="30">
        <v>4.2</v>
      </c>
      <c r="J43" s="30">
        <v>4.28</v>
      </c>
      <c r="K43" s="30">
        <v>4.2699999999999996</v>
      </c>
      <c r="L43" s="30">
        <v>4.34</v>
      </c>
      <c r="M43" s="30">
        <v>4.43</v>
      </c>
      <c r="N43" s="30">
        <v>4.5</v>
      </c>
      <c r="O43" s="30">
        <v>4.7699999999999996</v>
      </c>
      <c r="P43" s="30">
        <v>4.74</v>
      </c>
    </row>
    <row r="44" spans="2:16" x14ac:dyDescent="0.2">
      <c r="B44" s="29">
        <v>45709</v>
      </c>
      <c r="C44" s="30">
        <v>4.3600000000000003</v>
      </c>
      <c r="D44" s="30">
        <v>4.3899999999999997</v>
      </c>
      <c r="E44" s="30">
        <v>4.38</v>
      </c>
      <c r="F44" s="30">
        <v>4.32</v>
      </c>
      <c r="G44" s="30">
        <v>4.34</v>
      </c>
      <c r="H44" s="30">
        <v>4.3</v>
      </c>
      <c r="I44" s="30">
        <v>4.1500000000000004</v>
      </c>
      <c r="J44" s="30">
        <v>4.1900000000000004</v>
      </c>
      <c r="K44" s="30">
        <v>4.1900000000000004</v>
      </c>
      <c r="L44" s="30">
        <v>4.26</v>
      </c>
      <c r="M44" s="30">
        <v>4.3499999999999996</v>
      </c>
      <c r="N44" s="30">
        <v>4.42</v>
      </c>
      <c r="O44" s="30">
        <v>4.6900000000000004</v>
      </c>
      <c r="P44" s="30">
        <v>4.67</v>
      </c>
    </row>
    <row r="45" spans="2:16" x14ac:dyDescent="0.2">
      <c r="B45" s="29">
        <v>45712</v>
      </c>
      <c r="C45" s="30">
        <v>4.3600000000000003</v>
      </c>
      <c r="D45" s="30">
        <v>4.38</v>
      </c>
      <c r="E45" s="30">
        <v>4.37</v>
      </c>
      <c r="F45" s="30">
        <v>4.3099999999999996</v>
      </c>
      <c r="G45" s="30">
        <v>4.34</v>
      </c>
      <c r="H45" s="30">
        <v>4.3</v>
      </c>
      <c r="I45" s="30">
        <v>4.1500000000000004</v>
      </c>
      <c r="J45" s="30">
        <v>4.13</v>
      </c>
      <c r="K45" s="30">
        <v>4.17</v>
      </c>
      <c r="L45" s="30">
        <v>4.2300000000000004</v>
      </c>
      <c r="M45" s="30">
        <v>4.32</v>
      </c>
      <c r="N45" s="30">
        <v>4.4000000000000004</v>
      </c>
      <c r="O45" s="30">
        <v>4.6900000000000004</v>
      </c>
      <c r="P45" s="30">
        <v>4.66</v>
      </c>
    </row>
    <row r="46" spans="2:16" x14ac:dyDescent="0.2">
      <c r="B46" s="29">
        <v>45713</v>
      </c>
      <c r="C46" s="30">
        <v>4.34</v>
      </c>
      <c r="D46" s="30">
        <v>4.37</v>
      </c>
      <c r="E46" s="30">
        <v>4.37</v>
      </c>
      <c r="F46" s="30">
        <v>4.3</v>
      </c>
      <c r="G46" s="30">
        <v>4.33</v>
      </c>
      <c r="H46" s="30">
        <v>4.28</v>
      </c>
      <c r="I46" s="30">
        <v>4.12</v>
      </c>
      <c r="J46" s="30">
        <v>4.07</v>
      </c>
      <c r="K46" s="30">
        <v>4.08</v>
      </c>
      <c r="L46" s="30">
        <v>4.12</v>
      </c>
      <c r="M46" s="30">
        <v>4.21</v>
      </c>
      <c r="N46" s="30">
        <v>4.3</v>
      </c>
      <c r="O46" s="30">
        <v>4.59</v>
      </c>
      <c r="P46" s="30">
        <v>4.55</v>
      </c>
    </row>
    <row r="47" spans="2:16" x14ac:dyDescent="0.2">
      <c r="B47" s="29">
        <v>45714</v>
      </c>
      <c r="C47" s="30">
        <v>4.3499999999999996</v>
      </c>
      <c r="D47" s="30">
        <v>4.38</v>
      </c>
      <c r="E47" s="30">
        <v>4.37</v>
      </c>
      <c r="F47" s="30">
        <v>4.3099999999999996</v>
      </c>
      <c r="G47" s="30">
        <v>4.32</v>
      </c>
      <c r="H47" s="30">
        <v>4.28</v>
      </c>
      <c r="I47" s="30">
        <v>4.12</v>
      </c>
      <c r="J47" s="30">
        <v>4.05</v>
      </c>
      <c r="K47" s="30">
        <v>4.04</v>
      </c>
      <c r="L47" s="30">
        <v>4.0599999999999996</v>
      </c>
      <c r="M47" s="30">
        <v>4.16</v>
      </c>
      <c r="N47" s="30">
        <v>4.25</v>
      </c>
      <c r="O47" s="30">
        <v>4.55</v>
      </c>
      <c r="P47" s="30">
        <v>4.51</v>
      </c>
    </row>
    <row r="48" spans="2:16" x14ac:dyDescent="0.2">
      <c r="B48" s="29">
        <v>45715</v>
      </c>
      <c r="C48" s="30">
        <v>4.38</v>
      </c>
      <c r="D48" s="30">
        <v>4.38</v>
      </c>
      <c r="E48" s="30">
        <v>4.38</v>
      </c>
      <c r="F48" s="30">
        <v>4.32</v>
      </c>
      <c r="G48" s="30">
        <v>4.32</v>
      </c>
      <c r="H48" s="30">
        <v>4.28</v>
      </c>
      <c r="I48" s="30">
        <v>4.13</v>
      </c>
      <c r="J48" s="30">
        <v>4.07</v>
      </c>
      <c r="K48" s="30">
        <v>4.05</v>
      </c>
      <c r="L48" s="30">
        <v>4.09</v>
      </c>
      <c r="M48" s="30">
        <v>4.1900000000000004</v>
      </c>
      <c r="N48" s="30">
        <v>4.29</v>
      </c>
      <c r="O48" s="30">
        <v>4.59</v>
      </c>
      <c r="P48" s="30">
        <v>4.5599999999999996</v>
      </c>
    </row>
    <row r="49" spans="2:16" x14ac:dyDescent="0.2">
      <c r="B49" s="29">
        <v>45716</v>
      </c>
      <c r="C49" s="30">
        <v>4.38</v>
      </c>
      <c r="D49" s="30">
        <v>4.37</v>
      </c>
      <c r="E49" s="30">
        <v>4.38</v>
      </c>
      <c r="F49" s="30">
        <v>4.32</v>
      </c>
      <c r="G49" s="30">
        <v>4.32</v>
      </c>
      <c r="H49" s="30">
        <v>4.25</v>
      </c>
      <c r="I49" s="30">
        <v>4.08</v>
      </c>
      <c r="J49" s="30">
        <v>3.99</v>
      </c>
      <c r="K49" s="30">
        <v>3.99</v>
      </c>
      <c r="L49" s="30">
        <v>4.03</v>
      </c>
      <c r="M49" s="30">
        <v>4.1399999999999997</v>
      </c>
      <c r="N49" s="30">
        <v>4.24</v>
      </c>
      <c r="O49" s="30">
        <v>4.55</v>
      </c>
      <c r="P49" s="30">
        <v>4.51</v>
      </c>
    </row>
    <row r="50" spans="2:16" x14ac:dyDescent="0.2">
      <c r="B50" s="29">
        <v>45719</v>
      </c>
      <c r="C50" s="30">
        <v>4.38</v>
      </c>
      <c r="D50" s="30">
        <v>4.38</v>
      </c>
      <c r="E50" s="30">
        <v>4.37</v>
      </c>
      <c r="F50" s="30">
        <v>4.3499999999999996</v>
      </c>
      <c r="G50" s="30">
        <v>4.3099999999999996</v>
      </c>
      <c r="H50" s="30">
        <v>4.3099999999999996</v>
      </c>
      <c r="I50" s="30">
        <v>4.0599999999999996</v>
      </c>
      <c r="J50" s="30">
        <v>3.96</v>
      </c>
      <c r="K50" s="30">
        <v>3.93</v>
      </c>
      <c r="L50" s="30">
        <v>3.97</v>
      </c>
      <c r="M50" s="30">
        <v>4.0599999999999996</v>
      </c>
      <c r="N50" s="30">
        <v>4.16</v>
      </c>
      <c r="O50" s="30">
        <v>4.49</v>
      </c>
      <c r="P50" s="30">
        <v>4.45</v>
      </c>
    </row>
    <row r="51" spans="2:16" x14ac:dyDescent="0.2">
      <c r="B51" s="29">
        <v>45720</v>
      </c>
      <c r="C51" s="30">
        <v>4.3899999999999997</v>
      </c>
      <c r="D51" s="30">
        <v>4.38</v>
      </c>
      <c r="E51" s="30">
        <v>4.37</v>
      </c>
      <c r="F51" s="30">
        <v>4.34</v>
      </c>
      <c r="G51" s="30">
        <v>4.3099999999999996</v>
      </c>
      <c r="H51" s="30">
        <v>4.28</v>
      </c>
      <c r="I51" s="30">
        <v>4.04</v>
      </c>
      <c r="J51" s="30">
        <v>3.96</v>
      </c>
      <c r="K51" s="30">
        <v>3.94</v>
      </c>
      <c r="L51" s="30">
        <v>4.01</v>
      </c>
      <c r="M51" s="30">
        <v>4.1100000000000003</v>
      </c>
      <c r="N51" s="30">
        <v>4.22</v>
      </c>
      <c r="O51" s="30">
        <v>4.5599999999999996</v>
      </c>
      <c r="P51" s="30">
        <v>4.53</v>
      </c>
    </row>
    <row r="52" spans="2:16" x14ac:dyDescent="0.2">
      <c r="B52" s="29">
        <v>45721</v>
      </c>
      <c r="C52" s="30">
        <v>4.38</v>
      </c>
      <c r="D52" s="30">
        <v>4.38</v>
      </c>
      <c r="E52" s="30">
        <v>4.3600000000000003</v>
      </c>
      <c r="F52" s="30">
        <v>4.3499999999999996</v>
      </c>
      <c r="G52" s="30">
        <v>4.3</v>
      </c>
      <c r="H52" s="30">
        <v>4.3</v>
      </c>
      <c r="I52" s="30">
        <v>4.0599999999999996</v>
      </c>
      <c r="J52" s="30">
        <v>3.99</v>
      </c>
      <c r="K52" s="30">
        <v>4.01</v>
      </c>
      <c r="L52" s="30">
        <v>4.08</v>
      </c>
      <c r="M52" s="30">
        <v>4.18</v>
      </c>
      <c r="N52" s="30">
        <v>4.28</v>
      </c>
      <c r="O52" s="30">
        <v>4.6100000000000003</v>
      </c>
      <c r="P52" s="30">
        <v>4.57</v>
      </c>
    </row>
    <row r="53" spans="2:16" x14ac:dyDescent="0.2">
      <c r="B53" s="29">
        <v>45722</v>
      </c>
      <c r="C53" s="30">
        <v>4.38</v>
      </c>
      <c r="D53" s="30">
        <v>4.37</v>
      </c>
      <c r="E53" s="30">
        <v>4.34</v>
      </c>
      <c r="F53" s="30">
        <v>4.34</v>
      </c>
      <c r="G53" s="30">
        <v>4.28</v>
      </c>
      <c r="H53" s="30">
        <v>4.2699999999999996</v>
      </c>
      <c r="I53" s="30">
        <v>4.0199999999999996</v>
      </c>
      <c r="J53" s="30">
        <v>3.96</v>
      </c>
      <c r="K53" s="30">
        <v>3.98</v>
      </c>
      <c r="L53" s="30">
        <v>4.0599999999999996</v>
      </c>
      <c r="M53" s="30">
        <v>4.18</v>
      </c>
      <c r="N53" s="30">
        <v>4.29</v>
      </c>
      <c r="O53" s="30">
        <v>4.63</v>
      </c>
      <c r="P53" s="30">
        <v>4.58</v>
      </c>
    </row>
    <row r="54" spans="2:16" x14ac:dyDescent="0.2">
      <c r="B54" s="29">
        <v>45723</v>
      </c>
      <c r="C54" s="30">
        <v>4.38</v>
      </c>
      <c r="D54" s="30">
        <v>4.3600000000000003</v>
      </c>
      <c r="E54" s="30">
        <v>4.33</v>
      </c>
      <c r="F54" s="30">
        <v>4.34</v>
      </c>
      <c r="G54" s="30">
        <v>4.29</v>
      </c>
      <c r="H54" s="30">
        <v>4.29</v>
      </c>
      <c r="I54" s="30">
        <v>4.05</v>
      </c>
      <c r="J54" s="30">
        <v>3.99</v>
      </c>
      <c r="K54" s="30">
        <v>4.01</v>
      </c>
      <c r="L54" s="30">
        <v>4.09</v>
      </c>
      <c r="M54" s="30">
        <v>4.21</v>
      </c>
      <c r="N54" s="30">
        <v>4.32</v>
      </c>
      <c r="O54" s="30">
        <v>4.66</v>
      </c>
      <c r="P54" s="30">
        <v>4.62</v>
      </c>
    </row>
    <row r="55" spans="2:16" x14ac:dyDescent="0.2">
      <c r="B55" s="29">
        <v>45726</v>
      </c>
      <c r="C55" s="30">
        <v>4.37</v>
      </c>
      <c r="D55" s="30">
        <v>4.3499999999999996</v>
      </c>
      <c r="E55" s="30">
        <v>4.34</v>
      </c>
      <c r="F55" s="30">
        <v>4.33</v>
      </c>
      <c r="G55" s="30">
        <v>4.28</v>
      </c>
      <c r="H55" s="30">
        <v>4.25</v>
      </c>
      <c r="I55" s="30">
        <v>3.98</v>
      </c>
      <c r="J55" s="30">
        <v>3.89</v>
      </c>
      <c r="K55" s="30">
        <v>3.91</v>
      </c>
      <c r="L55" s="30">
        <v>3.98</v>
      </c>
      <c r="M55" s="30">
        <v>4.0999999999999996</v>
      </c>
      <c r="N55" s="30">
        <v>4.22</v>
      </c>
      <c r="O55" s="30">
        <v>4.58</v>
      </c>
      <c r="P55" s="30">
        <v>4.54</v>
      </c>
    </row>
    <row r="56" spans="2:16" x14ac:dyDescent="0.2">
      <c r="B56" s="29">
        <v>45727</v>
      </c>
      <c r="C56" s="30">
        <v>4.37</v>
      </c>
      <c r="D56" s="30">
        <v>4.37</v>
      </c>
      <c r="E56" s="30">
        <v>4.33</v>
      </c>
      <c r="F56" s="30">
        <v>4.34</v>
      </c>
      <c r="G56" s="30">
        <v>4.28</v>
      </c>
      <c r="H56" s="30">
        <v>4.26</v>
      </c>
      <c r="I56" s="30">
        <v>4.03</v>
      </c>
      <c r="J56" s="30">
        <v>3.94</v>
      </c>
      <c r="K56" s="30">
        <v>3.92</v>
      </c>
      <c r="L56" s="30">
        <v>4.03</v>
      </c>
      <c r="M56" s="30">
        <v>4.16</v>
      </c>
      <c r="N56" s="30">
        <v>4.28</v>
      </c>
      <c r="O56" s="30">
        <v>4.63</v>
      </c>
      <c r="P56" s="30">
        <v>4.59</v>
      </c>
    </row>
    <row r="57" spans="2:16" x14ac:dyDescent="0.2">
      <c r="B57" s="29">
        <v>45728</v>
      </c>
      <c r="C57" s="30">
        <v>4.3600000000000003</v>
      </c>
      <c r="D57" s="30">
        <v>4.3600000000000003</v>
      </c>
      <c r="E57" s="30">
        <v>4.34</v>
      </c>
      <c r="F57" s="30">
        <v>4.3499999999999996</v>
      </c>
      <c r="G57" s="30">
        <v>4.3</v>
      </c>
      <c r="H57" s="30">
        <v>4.2699999999999996</v>
      </c>
      <c r="I57" s="30">
        <v>4.07</v>
      </c>
      <c r="J57" s="30">
        <v>4.01</v>
      </c>
      <c r="K57" s="30">
        <v>3.98</v>
      </c>
      <c r="L57" s="30">
        <v>4.09</v>
      </c>
      <c r="M57" s="30">
        <v>4.2</v>
      </c>
      <c r="N57" s="30">
        <v>4.32</v>
      </c>
      <c r="O57" s="30">
        <v>4.67</v>
      </c>
      <c r="P57" s="30">
        <v>4.63</v>
      </c>
    </row>
    <row r="58" spans="2:16" x14ac:dyDescent="0.2">
      <c r="B58" s="29">
        <v>45729</v>
      </c>
      <c r="C58" s="30">
        <v>4.37</v>
      </c>
      <c r="D58" s="30">
        <v>4.37</v>
      </c>
      <c r="E58" s="30">
        <v>4.34</v>
      </c>
      <c r="F58" s="30">
        <v>4.34</v>
      </c>
      <c r="G58" s="30">
        <v>4.28</v>
      </c>
      <c r="H58" s="30">
        <v>4.2699999999999996</v>
      </c>
      <c r="I58" s="30">
        <v>4.03</v>
      </c>
      <c r="J58" s="30">
        <v>3.94</v>
      </c>
      <c r="K58" s="30">
        <v>3.93</v>
      </c>
      <c r="L58" s="30">
        <v>4.0199999999999996</v>
      </c>
      <c r="M58" s="30">
        <v>4.1500000000000004</v>
      </c>
      <c r="N58" s="30">
        <v>4.2699999999999996</v>
      </c>
      <c r="O58" s="30">
        <v>4.63</v>
      </c>
      <c r="P58" s="30">
        <v>4.59</v>
      </c>
    </row>
    <row r="59" spans="2:16" x14ac:dyDescent="0.2">
      <c r="B59" s="29">
        <v>45730</v>
      </c>
      <c r="C59" s="30">
        <v>4.37</v>
      </c>
      <c r="D59" s="30">
        <v>4.3600000000000003</v>
      </c>
      <c r="E59" s="30">
        <v>4.33</v>
      </c>
      <c r="F59" s="30">
        <v>4.33</v>
      </c>
      <c r="G59" s="30">
        <v>4.3</v>
      </c>
      <c r="H59" s="30">
        <v>4.29</v>
      </c>
      <c r="I59" s="30">
        <v>4.09</v>
      </c>
      <c r="J59" s="30">
        <v>4.0199999999999996</v>
      </c>
      <c r="K59" s="30">
        <v>4</v>
      </c>
      <c r="L59" s="30">
        <v>4.09</v>
      </c>
      <c r="M59" s="30">
        <v>4.2</v>
      </c>
      <c r="N59" s="30">
        <v>4.3099999999999996</v>
      </c>
      <c r="O59" s="30">
        <v>4.6500000000000004</v>
      </c>
      <c r="P59" s="30">
        <v>4.62</v>
      </c>
    </row>
    <row r="60" spans="2:16" x14ac:dyDescent="0.2">
      <c r="B60" s="29">
        <v>45733</v>
      </c>
      <c r="C60" s="30">
        <v>4.37</v>
      </c>
      <c r="D60" s="30">
        <v>4.3499999999999996</v>
      </c>
      <c r="E60" s="30">
        <v>4.33</v>
      </c>
      <c r="F60" s="30">
        <v>4.34</v>
      </c>
      <c r="G60" s="30">
        <v>4.3</v>
      </c>
      <c r="H60" s="30">
        <v>4.29</v>
      </c>
      <c r="I60" s="30">
        <v>4.1100000000000003</v>
      </c>
      <c r="J60" s="30">
        <v>4.0599999999999996</v>
      </c>
      <c r="K60" s="30">
        <v>4.03</v>
      </c>
      <c r="L60" s="30">
        <v>4.1100000000000003</v>
      </c>
      <c r="M60" s="30">
        <v>4.21</v>
      </c>
      <c r="N60" s="30">
        <v>4.3099999999999996</v>
      </c>
      <c r="O60" s="30">
        <v>4.6399999999999997</v>
      </c>
      <c r="P60" s="30">
        <v>4.5999999999999996</v>
      </c>
    </row>
    <row r="61" spans="2:16" x14ac:dyDescent="0.2">
      <c r="B61" s="29">
        <v>45734</v>
      </c>
      <c r="C61" s="30">
        <v>4.37</v>
      </c>
      <c r="D61" s="30">
        <v>4.3499999999999996</v>
      </c>
      <c r="E61" s="30">
        <v>4.33</v>
      </c>
      <c r="F61" s="30">
        <v>4.34</v>
      </c>
      <c r="G61" s="30">
        <v>4.29</v>
      </c>
      <c r="H61" s="30">
        <v>4.29</v>
      </c>
      <c r="I61" s="30">
        <v>4.13</v>
      </c>
      <c r="J61" s="30">
        <v>4.04</v>
      </c>
      <c r="K61" s="30">
        <v>4.01</v>
      </c>
      <c r="L61" s="30">
        <v>4.07</v>
      </c>
      <c r="M61" s="30">
        <v>4.18</v>
      </c>
      <c r="N61" s="30">
        <v>4.29</v>
      </c>
      <c r="O61" s="30">
        <v>4.6100000000000003</v>
      </c>
      <c r="P61" s="30">
        <v>4.58</v>
      </c>
    </row>
    <row r="62" spans="2:16" x14ac:dyDescent="0.2">
      <c r="B62" s="29">
        <v>45735</v>
      </c>
      <c r="C62" s="30">
        <v>4.37</v>
      </c>
      <c r="D62" s="30">
        <v>4.34</v>
      </c>
      <c r="E62" s="30">
        <v>4.32</v>
      </c>
      <c r="F62" s="30">
        <v>4.33</v>
      </c>
      <c r="G62" s="30">
        <v>4.3</v>
      </c>
      <c r="H62" s="30">
        <v>4.29</v>
      </c>
      <c r="I62" s="30">
        <v>4.0999999999999996</v>
      </c>
      <c r="J62" s="30">
        <v>3.99</v>
      </c>
      <c r="K62" s="30">
        <v>3.95</v>
      </c>
      <c r="L62" s="30">
        <v>4.03</v>
      </c>
      <c r="M62" s="30">
        <v>4.1399999999999997</v>
      </c>
      <c r="N62" s="30">
        <v>4.25</v>
      </c>
      <c r="O62" s="30">
        <v>4.58</v>
      </c>
      <c r="P62" s="30">
        <v>4.5599999999999996</v>
      </c>
    </row>
    <row r="63" spans="2:16" x14ac:dyDescent="0.2">
      <c r="B63" s="29">
        <v>45736</v>
      </c>
      <c r="C63" s="30">
        <v>4.3600000000000003</v>
      </c>
      <c r="D63" s="30">
        <v>4.34</v>
      </c>
      <c r="E63" s="30">
        <v>4.34</v>
      </c>
      <c r="F63" s="30">
        <v>4.33</v>
      </c>
      <c r="G63" s="30">
        <v>4.29</v>
      </c>
      <c r="H63" s="30">
        <v>4.2699999999999996</v>
      </c>
      <c r="I63" s="30">
        <v>4.0599999999999996</v>
      </c>
      <c r="J63" s="30">
        <v>3.95</v>
      </c>
      <c r="K63" s="30">
        <v>3.93</v>
      </c>
      <c r="L63" s="30">
        <v>4.01</v>
      </c>
      <c r="M63" s="30">
        <v>4.12</v>
      </c>
      <c r="N63" s="30">
        <v>4.24</v>
      </c>
      <c r="O63" s="30">
        <v>4.57</v>
      </c>
      <c r="P63" s="30">
        <v>4.55</v>
      </c>
    </row>
    <row r="64" spans="2:16" x14ac:dyDescent="0.2">
      <c r="B64" s="29">
        <v>45737</v>
      </c>
      <c r="C64" s="30">
        <v>4.3600000000000003</v>
      </c>
      <c r="D64" s="30">
        <v>4.33</v>
      </c>
      <c r="E64" s="30">
        <v>4.33</v>
      </c>
      <c r="F64" s="30">
        <v>4.33</v>
      </c>
      <c r="G64" s="30">
        <v>4.29</v>
      </c>
      <c r="H64" s="30">
        <v>4.26</v>
      </c>
      <c r="I64" s="30">
        <v>4.04</v>
      </c>
      <c r="J64" s="30">
        <v>3.94</v>
      </c>
      <c r="K64" s="30">
        <v>3.92</v>
      </c>
      <c r="L64" s="30">
        <v>4</v>
      </c>
      <c r="M64" s="30">
        <v>4.12</v>
      </c>
      <c r="N64" s="30">
        <v>4.25</v>
      </c>
      <c r="O64" s="30">
        <v>4.5999999999999996</v>
      </c>
      <c r="P64" s="30">
        <v>4.59</v>
      </c>
    </row>
    <row r="65" spans="2:16" x14ac:dyDescent="0.2">
      <c r="B65" s="29">
        <v>45740</v>
      </c>
      <c r="C65" s="30">
        <v>4.3499999999999996</v>
      </c>
      <c r="D65" s="30">
        <v>4.34</v>
      </c>
      <c r="E65" s="30">
        <v>4.34</v>
      </c>
      <c r="F65" s="30">
        <v>4.33</v>
      </c>
      <c r="G65" s="30">
        <v>4.3</v>
      </c>
      <c r="H65" s="30">
        <v>4.2699999999999996</v>
      </c>
      <c r="I65" s="30">
        <v>4.1100000000000003</v>
      </c>
      <c r="J65" s="30">
        <v>4.04</v>
      </c>
      <c r="K65" s="30">
        <v>4.01</v>
      </c>
      <c r="L65" s="30">
        <v>4.09</v>
      </c>
      <c r="M65" s="30">
        <v>4.22</v>
      </c>
      <c r="N65" s="30">
        <v>4.34</v>
      </c>
      <c r="O65" s="30">
        <v>4.68</v>
      </c>
      <c r="P65" s="30">
        <v>4.66</v>
      </c>
    </row>
    <row r="66" spans="2:16" x14ac:dyDescent="0.2">
      <c r="B66" s="29">
        <v>45741</v>
      </c>
      <c r="C66" s="30">
        <v>4.3600000000000003</v>
      </c>
      <c r="D66" s="30">
        <v>4.34</v>
      </c>
      <c r="E66" s="30">
        <v>4.33</v>
      </c>
      <c r="F66" s="30">
        <v>4.33</v>
      </c>
      <c r="G66" s="30">
        <v>4.3</v>
      </c>
      <c r="H66" s="30">
        <v>4.26</v>
      </c>
      <c r="I66" s="30">
        <v>4.09</v>
      </c>
      <c r="J66" s="30">
        <v>3.96</v>
      </c>
      <c r="K66" s="30">
        <v>3.98</v>
      </c>
      <c r="L66" s="30">
        <v>4.07</v>
      </c>
      <c r="M66" s="30">
        <v>4.1900000000000004</v>
      </c>
      <c r="N66" s="30">
        <v>4.3099999999999996</v>
      </c>
      <c r="O66" s="30">
        <v>4.67</v>
      </c>
      <c r="P66" s="30">
        <v>4.6500000000000004</v>
      </c>
    </row>
    <row r="67" spans="2:16" x14ac:dyDescent="0.2">
      <c r="B67" s="29">
        <v>45742</v>
      </c>
      <c r="C67" s="30">
        <v>4.3600000000000003</v>
      </c>
      <c r="D67" s="30">
        <v>4.34</v>
      </c>
      <c r="E67" s="30">
        <v>4.33</v>
      </c>
      <c r="F67" s="30">
        <v>4.33</v>
      </c>
      <c r="G67" s="30">
        <v>4.3099999999999996</v>
      </c>
      <c r="H67" s="30">
        <v>4.26</v>
      </c>
      <c r="I67" s="30">
        <v>4.0999999999999996</v>
      </c>
      <c r="J67" s="30">
        <v>3.98</v>
      </c>
      <c r="K67" s="30">
        <v>4.01</v>
      </c>
      <c r="L67" s="30">
        <v>4.08</v>
      </c>
      <c r="M67" s="30">
        <v>4.22</v>
      </c>
      <c r="N67" s="30">
        <v>4.3499999999999996</v>
      </c>
      <c r="O67" s="30">
        <v>4.71</v>
      </c>
      <c r="P67" s="30">
        <v>4.6900000000000004</v>
      </c>
    </row>
    <row r="68" spans="2:16" x14ac:dyDescent="0.2">
      <c r="B68" s="29">
        <v>45743</v>
      </c>
      <c r="C68" s="30">
        <v>4.37</v>
      </c>
      <c r="D68" s="30">
        <v>4.3499999999999996</v>
      </c>
      <c r="E68" s="30">
        <v>4.3600000000000003</v>
      </c>
      <c r="F68" s="30">
        <v>4.33</v>
      </c>
      <c r="G68" s="30">
        <v>4.3099999999999996</v>
      </c>
      <c r="H68" s="30">
        <v>4.2699999999999996</v>
      </c>
      <c r="I68" s="30">
        <v>4.0999999999999996</v>
      </c>
      <c r="J68" s="30">
        <v>3.97</v>
      </c>
      <c r="K68" s="30">
        <v>4</v>
      </c>
      <c r="L68" s="30">
        <v>4.09</v>
      </c>
      <c r="M68" s="30">
        <v>4.2300000000000004</v>
      </c>
      <c r="N68" s="30">
        <v>4.38</v>
      </c>
      <c r="O68" s="30">
        <v>4.75</v>
      </c>
      <c r="P68" s="30">
        <v>4.7300000000000004</v>
      </c>
    </row>
    <row r="69" spans="2:16" x14ac:dyDescent="0.2">
      <c r="B69" s="29">
        <v>45744</v>
      </c>
      <c r="C69" s="30">
        <v>4.38</v>
      </c>
      <c r="D69" s="30">
        <v>4.3499999999999996</v>
      </c>
      <c r="E69" s="30">
        <v>4.3499999999999996</v>
      </c>
      <c r="F69" s="30">
        <v>4.33</v>
      </c>
      <c r="G69" s="30">
        <v>4.3</v>
      </c>
      <c r="H69" s="30">
        <v>4.26</v>
      </c>
      <c r="I69" s="30">
        <v>4.04</v>
      </c>
      <c r="J69" s="30">
        <v>3.89</v>
      </c>
      <c r="K69" s="30">
        <v>3.91</v>
      </c>
      <c r="L69" s="30">
        <v>3.98</v>
      </c>
      <c r="M69" s="30">
        <v>4.1100000000000003</v>
      </c>
      <c r="N69" s="30">
        <v>4.2699999999999996</v>
      </c>
      <c r="O69" s="30">
        <v>4.6500000000000004</v>
      </c>
      <c r="P69" s="30">
        <v>4.6399999999999997</v>
      </c>
    </row>
    <row r="70" spans="2:16" x14ac:dyDescent="0.2">
      <c r="B70" s="29">
        <v>45747</v>
      </c>
      <c r="C70" s="30">
        <v>4.38</v>
      </c>
      <c r="D70" s="30">
        <v>4.3600000000000003</v>
      </c>
      <c r="E70" s="30">
        <v>4.3499999999999996</v>
      </c>
      <c r="F70" s="30">
        <v>4.32</v>
      </c>
      <c r="G70" s="30">
        <v>4.3099999999999996</v>
      </c>
      <c r="H70" s="30">
        <v>4.2300000000000004</v>
      </c>
      <c r="I70" s="30">
        <v>4.03</v>
      </c>
      <c r="J70" s="30">
        <v>3.89</v>
      </c>
      <c r="K70" s="30">
        <v>3.89</v>
      </c>
      <c r="L70" s="30">
        <v>3.96</v>
      </c>
      <c r="M70" s="30">
        <v>4.09</v>
      </c>
      <c r="N70" s="30">
        <v>4.2300000000000004</v>
      </c>
      <c r="O70" s="30">
        <v>4.62</v>
      </c>
      <c r="P70" s="30">
        <v>4.59</v>
      </c>
    </row>
    <row r="71" spans="2:16" x14ac:dyDescent="0.2">
      <c r="B71" s="29">
        <v>45748</v>
      </c>
      <c r="C71" s="30">
        <v>4.38</v>
      </c>
      <c r="D71" s="30">
        <v>4.3600000000000003</v>
      </c>
      <c r="E71" s="30">
        <v>4.3499999999999996</v>
      </c>
      <c r="F71" s="30">
        <v>4.32</v>
      </c>
      <c r="G71" s="30">
        <v>4.3</v>
      </c>
      <c r="H71" s="30">
        <v>4.2300000000000004</v>
      </c>
      <c r="I71" s="30">
        <v>4.01</v>
      </c>
      <c r="J71" s="30">
        <v>3.87</v>
      </c>
      <c r="K71" s="30">
        <v>3.85</v>
      </c>
      <c r="L71" s="30">
        <v>3.91</v>
      </c>
      <c r="M71" s="30">
        <v>4.03</v>
      </c>
      <c r="N71" s="30">
        <v>4.17</v>
      </c>
      <c r="O71" s="30">
        <v>4.5599999999999996</v>
      </c>
      <c r="P71" s="30">
        <v>4.5199999999999996</v>
      </c>
    </row>
    <row r="72" spans="2:16" x14ac:dyDescent="0.2">
      <c r="B72" s="29">
        <v>45749</v>
      </c>
      <c r="C72" s="30">
        <v>4.38</v>
      </c>
      <c r="D72" s="30">
        <v>4.3600000000000003</v>
      </c>
      <c r="E72" s="30">
        <v>4.34</v>
      </c>
      <c r="F72" s="30">
        <v>4.32</v>
      </c>
      <c r="G72" s="30">
        <v>4.32</v>
      </c>
      <c r="H72" s="30">
        <v>4.24</v>
      </c>
      <c r="I72" s="30">
        <v>4.04</v>
      </c>
      <c r="J72" s="30">
        <v>3.91</v>
      </c>
      <c r="K72" s="30">
        <v>3.89</v>
      </c>
      <c r="L72" s="30">
        <v>3.95</v>
      </c>
      <c r="M72" s="30">
        <v>4.07</v>
      </c>
      <c r="N72" s="30">
        <v>4.2</v>
      </c>
      <c r="O72" s="30">
        <v>4.58</v>
      </c>
      <c r="P72" s="30">
        <v>4.54</v>
      </c>
    </row>
    <row r="73" spans="2:16" x14ac:dyDescent="0.2">
      <c r="B73" s="29">
        <v>45750</v>
      </c>
      <c r="C73" s="30">
        <v>4.3600000000000003</v>
      </c>
      <c r="D73" s="30">
        <v>4.37</v>
      </c>
      <c r="E73" s="30">
        <v>4.38</v>
      </c>
      <c r="F73" s="30">
        <v>4.3099999999999996</v>
      </c>
      <c r="G73" s="30">
        <v>4.29</v>
      </c>
      <c r="H73" s="30">
        <v>4.2</v>
      </c>
      <c r="I73" s="30">
        <v>3.92</v>
      </c>
      <c r="J73" s="30">
        <v>3.71</v>
      </c>
      <c r="K73" s="30">
        <v>3.68</v>
      </c>
      <c r="L73" s="30">
        <v>3.75</v>
      </c>
      <c r="M73" s="30">
        <v>3.88</v>
      </c>
      <c r="N73" s="30">
        <v>4.0599999999999996</v>
      </c>
      <c r="O73" s="30">
        <v>4.51</v>
      </c>
      <c r="P73" s="30">
        <v>4.49</v>
      </c>
    </row>
    <row r="74" spans="2:16" x14ac:dyDescent="0.2">
      <c r="B74" s="29">
        <v>45751</v>
      </c>
      <c r="C74" s="30">
        <v>4.3600000000000003</v>
      </c>
      <c r="D74" s="30">
        <v>4.3499999999999996</v>
      </c>
      <c r="E74" s="30">
        <v>4.3600000000000003</v>
      </c>
      <c r="F74" s="30">
        <v>4.28</v>
      </c>
      <c r="G74" s="30">
        <v>4.25</v>
      </c>
      <c r="H74" s="30">
        <v>4.1399999999999997</v>
      </c>
      <c r="I74" s="30">
        <v>3.86</v>
      </c>
      <c r="J74" s="30">
        <v>3.68</v>
      </c>
      <c r="K74" s="30">
        <v>3.66</v>
      </c>
      <c r="L74" s="30">
        <v>3.72</v>
      </c>
      <c r="M74" s="30">
        <v>3.84</v>
      </c>
      <c r="N74" s="30">
        <v>4.01</v>
      </c>
      <c r="O74" s="30">
        <v>4.4400000000000004</v>
      </c>
      <c r="P74" s="30">
        <v>4.41</v>
      </c>
    </row>
    <row r="75" spans="2:16" x14ac:dyDescent="0.2">
      <c r="B75" s="29">
        <v>45754</v>
      </c>
      <c r="C75" s="30">
        <v>4.3600000000000003</v>
      </c>
      <c r="D75" s="30">
        <v>4.3600000000000003</v>
      </c>
      <c r="E75" s="30">
        <v>4.3600000000000003</v>
      </c>
      <c r="F75" s="30">
        <v>4.29</v>
      </c>
      <c r="G75" s="30">
        <v>4.28</v>
      </c>
      <c r="H75" s="30">
        <v>4.1399999999999997</v>
      </c>
      <c r="I75" s="30">
        <v>3.86</v>
      </c>
      <c r="J75" s="30">
        <v>3.73</v>
      </c>
      <c r="K75" s="30">
        <v>3.72</v>
      </c>
      <c r="L75" s="30">
        <v>3.82</v>
      </c>
      <c r="M75" s="30">
        <v>3.97</v>
      </c>
      <c r="N75" s="30">
        <v>4.1500000000000004</v>
      </c>
      <c r="O75" s="30">
        <v>4.6100000000000003</v>
      </c>
      <c r="P75" s="30">
        <v>4.58</v>
      </c>
    </row>
    <row r="76" spans="2:16" x14ac:dyDescent="0.2">
      <c r="B76" s="29">
        <v>45755</v>
      </c>
      <c r="C76" s="30">
        <v>4.3600000000000003</v>
      </c>
      <c r="D76" s="30">
        <v>4.3899999999999997</v>
      </c>
      <c r="E76" s="30">
        <v>4.37</v>
      </c>
      <c r="F76" s="30">
        <v>4.3099999999999996</v>
      </c>
      <c r="G76" s="30">
        <v>4.3</v>
      </c>
      <c r="H76" s="30">
        <v>4.1399999999999997</v>
      </c>
      <c r="I76" s="30">
        <v>3.83</v>
      </c>
      <c r="J76" s="30">
        <v>3.71</v>
      </c>
      <c r="K76" s="30">
        <v>3.71</v>
      </c>
      <c r="L76" s="30">
        <v>3.88</v>
      </c>
      <c r="M76" s="30">
        <v>4.05</v>
      </c>
      <c r="N76" s="30">
        <v>4.26</v>
      </c>
      <c r="O76" s="30">
        <v>4.76</v>
      </c>
      <c r="P76" s="30">
        <v>4.71</v>
      </c>
    </row>
    <row r="77" spans="2:16" x14ac:dyDescent="0.2">
      <c r="B77" s="29">
        <v>45756</v>
      </c>
      <c r="C77" s="30">
        <v>4.3600000000000003</v>
      </c>
      <c r="D77" s="30">
        <v>4.38</v>
      </c>
      <c r="E77" s="30">
        <v>4.37</v>
      </c>
      <c r="F77" s="30">
        <v>4.3499999999999996</v>
      </c>
      <c r="G77" s="30">
        <v>4.3600000000000003</v>
      </c>
      <c r="H77" s="30">
        <v>4.2300000000000004</v>
      </c>
      <c r="I77" s="30">
        <v>4.03</v>
      </c>
      <c r="J77" s="30">
        <v>3.91</v>
      </c>
      <c r="K77" s="30">
        <v>3.91</v>
      </c>
      <c r="L77" s="30">
        <v>4.0599999999999996</v>
      </c>
      <c r="M77" s="30">
        <v>4.2</v>
      </c>
      <c r="N77" s="30">
        <v>4.34</v>
      </c>
      <c r="O77" s="30">
        <v>4.78</v>
      </c>
      <c r="P77" s="30">
        <v>4.72</v>
      </c>
    </row>
    <row r="78" spans="2:16" x14ac:dyDescent="0.2">
      <c r="B78" s="29">
        <v>45757</v>
      </c>
      <c r="C78" s="30">
        <v>4.3600000000000003</v>
      </c>
      <c r="D78" s="30">
        <v>4.3600000000000003</v>
      </c>
      <c r="E78" s="30">
        <v>4.3899999999999997</v>
      </c>
      <c r="F78" s="30">
        <v>4.34</v>
      </c>
      <c r="G78" s="30">
        <v>4.33</v>
      </c>
      <c r="H78" s="30">
        <v>4.17</v>
      </c>
      <c r="I78" s="30">
        <v>3.97</v>
      </c>
      <c r="J78" s="30">
        <v>3.84</v>
      </c>
      <c r="K78" s="30">
        <v>3.85</v>
      </c>
      <c r="L78" s="30">
        <v>4.04</v>
      </c>
      <c r="M78" s="30">
        <v>4.21</v>
      </c>
      <c r="N78" s="30">
        <v>4.4000000000000004</v>
      </c>
      <c r="O78" s="30">
        <v>4.9000000000000004</v>
      </c>
      <c r="P78" s="30">
        <v>4.8600000000000003</v>
      </c>
    </row>
    <row r="79" spans="2:16" x14ac:dyDescent="0.2">
      <c r="B79" s="29">
        <v>45758</v>
      </c>
      <c r="C79" s="30">
        <v>4.37</v>
      </c>
      <c r="D79" s="30">
        <v>4.3499999999999996</v>
      </c>
      <c r="E79" s="30">
        <v>4.38</v>
      </c>
      <c r="F79" s="30">
        <v>4.34</v>
      </c>
      <c r="G79" s="30">
        <v>4.3499999999999996</v>
      </c>
      <c r="H79" s="30">
        <v>4.21</v>
      </c>
      <c r="I79" s="30">
        <v>4.04</v>
      </c>
      <c r="J79" s="30">
        <v>3.96</v>
      </c>
      <c r="K79" s="30">
        <v>3.98</v>
      </c>
      <c r="L79" s="30">
        <v>4.1500000000000004</v>
      </c>
      <c r="M79" s="30">
        <v>4.32</v>
      </c>
      <c r="N79" s="30">
        <v>4.4800000000000004</v>
      </c>
      <c r="O79" s="30">
        <v>4.91</v>
      </c>
      <c r="P79" s="30">
        <v>4.8499999999999996</v>
      </c>
    </row>
    <row r="80" spans="2:16" x14ac:dyDescent="0.2">
      <c r="B80" s="29">
        <v>45761</v>
      </c>
      <c r="C80" s="30">
        <v>4.34</v>
      </c>
      <c r="D80" s="30">
        <v>4.3600000000000003</v>
      </c>
      <c r="E80" s="30">
        <v>4.37</v>
      </c>
      <c r="F80" s="30">
        <v>4.33</v>
      </c>
      <c r="G80" s="30">
        <v>4.34</v>
      </c>
      <c r="H80" s="30">
        <v>4.21</v>
      </c>
      <c r="I80" s="30">
        <v>3.99</v>
      </c>
      <c r="J80" s="30">
        <v>3.84</v>
      </c>
      <c r="K80" s="30">
        <v>3.87</v>
      </c>
      <c r="L80" s="30">
        <v>4.0199999999999996</v>
      </c>
      <c r="M80" s="30">
        <v>4.2</v>
      </c>
      <c r="N80" s="30">
        <v>4.38</v>
      </c>
      <c r="O80" s="30">
        <v>4.84</v>
      </c>
      <c r="P80" s="30">
        <v>4.8</v>
      </c>
    </row>
    <row r="81" spans="2:16" x14ac:dyDescent="0.2">
      <c r="B81" s="29">
        <v>45762</v>
      </c>
      <c r="C81" s="30">
        <v>4.3499999999999996</v>
      </c>
      <c r="D81" s="30">
        <v>4.3600000000000003</v>
      </c>
      <c r="E81" s="30">
        <v>4.3600000000000003</v>
      </c>
      <c r="F81" s="30">
        <v>4.33</v>
      </c>
      <c r="G81" s="30">
        <v>4.32</v>
      </c>
      <c r="H81" s="30">
        <v>4.21</v>
      </c>
      <c r="I81" s="30">
        <v>3.99</v>
      </c>
      <c r="J81" s="30">
        <v>3.84</v>
      </c>
      <c r="K81" s="30">
        <v>3.85</v>
      </c>
      <c r="L81" s="30">
        <v>3.98</v>
      </c>
      <c r="M81" s="30">
        <v>4.1500000000000004</v>
      </c>
      <c r="N81" s="30">
        <v>4.3499999999999996</v>
      </c>
      <c r="O81" s="30">
        <v>4.82</v>
      </c>
      <c r="P81" s="30">
        <v>4.79</v>
      </c>
    </row>
    <row r="82" spans="2:16" x14ac:dyDescent="0.2">
      <c r="B82" s="29">
        <v>45763</v>
      </c>
      <c r="C82" s="30">
        <v>4.3499999999999996</v>
      </c>
      <c r="D82" s="30">
        <v>4.3499999999999996</v>
      </c>
      <c r="E82" s="30">
        <v>4.3499999999999996</v>
      </c>
      <c r="F82" s="30">
        <v>4.33</v>
      </c>
      <c r="G82" s="30">
        <v>4.34</v>
      </c>
      <c r="H82" s="30">
        <v>4.2</v>
      </c>
      <c r="I82" s="30">
        <v>3.96</v>
      </c>
      <c r="J82" s="30">
        <v>3.77</v>
      </c>
      <c r="K82" s="30">
        <v>3.77</v>
      </c>
      <c r="L82" s="30">
        <v>3.91</v>
      </c>
      <c r="M82" s="30">
        <v>4.08</v>
      </c>
      <c r="N82" s="30">
        <v>4.29</v>
      </c>
      <c r="O82" s="30">
        <v>4.7699999999999996</v>
      </c>
      <c r="P82" s="30">
        <v>4.74</v>
      </c>
    </row>
    <row r="83" spans="2:16" x14ac:dyDescent="0.2">
      <c r="B83" s="29">
        <v>45764</v>
      </c>
      <c r="C83" s="30">
        <v>4.3600000000000003</v>
      </c>
      <c r="D83" s="30">
        <v>4.3499999999999996</v>
      </c>
      <c r="E83" s="30">
        <v>4.38</v>
      </c>
      <c r="F83" s="30">
        <v>4.34</v>
      </c>
      <c r="G83" s="30">
        <v>4.3499999999999996</v>
      </c>
      <c r="H83" s="30">
        <v>4.22</v>
      </c>
      <c r="I83" s="30">
        <v>3.99</v>
      </c>
      <c r="J83" s="30">
        <v>3.81</v>
      </c>
      <c r="K83" s="30">
        <v>3.82</v>
      </c>
      <c r="L83" s="30">
        <v>3.95</v>
      </c>
      <c r="M83" s="30">
        <v>4.13</v>
      </c>
      <c r="N83" s="30">
        <v>4.34</v>
      </c>
      <c r="O83" s="30">
        <v>4.82</v>
      </c>
      <c r="P83" s="30">
        <v>4.8</v>
      </c>
    </row>
    <row r="84" spans="2:16" x14ac:dyDescent="0.2">
      <c r="B84" s="29">
        <v>45768</v>
      </c>
      <c r="C84" s="30">
        <v>4.3499999999999996</v>
      </c>
      <c r="D84" s="30">
        <v>4.3499999999999996</v>
      </c>
      <c r="E84" s="30">
        <v>4.37</v>
      </c>
      <c r="F84" s="30">
        <v>4.34</v>
      </c>
      <c r="G84" s="30">
        <v>4.33</v>
      </c>
      <c r="H84" s="30">
        <v>4.21</v>
      </c>
      <c r="I84" s="30">
        <v>3.95</v>
      </c>
      <c r="J84" s="30">
        <v>3.75</v>
      </c>
      <c r="K84" s="30">
        <v>3.77</v>
      </c>
      <c r="L84" s="30">
        <v>3.97</v>
      </c>
      <c r="M84" s="30">
        <v>4.1900000000000004</v>
      </c>
      <c r="N84" s="30">
        <v>4.42</v>
      </c>
      <c r="O84" s="30">
        <v>4.9400000000000004</v>
      </c>
      <c r="P84" s="30">
        <v>4.91</v>
      </c>
    </row>
    <row r="85" spans="2:16" x14ac:dyDescent="0.2">
      <c r="B85" s="29">
        <v>45769</v>
      </c>
      <c r="C85" s="30">
        <v>4.33</v>
      </c>
      <c r="D85" s="30">
        <v>4.37</v>
      </c>
      <c r="E85" s="30">
        <v>4.3499999999999996</v>
      </c>
      <c r="F85" s="30">
        <v>4.33</v>
      </c>
      <c r="G85" s="30">
        <v>4.33</v>
      </c>
      <c r="H85" s="30">
        <v>4.21</v>
      </c>
      <c r="I85" s="30">
        <v>3.98</v>
      </c>
      <c r="J85" s="30">
        <v>3.76</v>
      </c>
      <c r="K85" s="30">
        <v>3.82</v>
      </c>
      <c r="L85" s="30">
        <v>3.98</v>
      </c>
      <c r="M85" s="30">
        <v>4.1900000000000004</v>
      </c>
      <c r="N85" s="30">
        <v>4.41</v>
      </c>
      <c r="O85" s="30">
        <v>4.9000000000000004</v>
      </c>
      <c r="P85" s="30">
        <v>4.88</v>
      </c>
    </row>
    <row r="86" spans="2:16" x14ac:dyDescent="0.2">
      <c r="B86" s="29">
        <v>45770</v>
      </c>
      <c r="C86" s="30">
        <v>4.33</v>
      </c>
      <c r="D86" s="30">
        <v>4.3600000000000003</v>
      </c>
      <c r="E86" s="30">
        <v>4.34</v>
      </c>
      <c r="F86" s="30">
        <v>4.33</v>
      </c>
      <c r="G86" s="30">
        <v>4.33</v>
      </c>
      <c r="H86" s="30">
        <v>4.22</v>
      </c>
      <c r="I86" s="30">
        <v>4.01</v>
      </c>
      <c r="J86" s="30">
        <v>3.81</v>
      </c>
      <c r="K86" s="30">
        <v>3.87</v>
      </c>
      <c r="L86" s="30">
        <v>4</v>
      </c>
      <c r="M86" s="30">
        <v>4.2</v>
      </c>
      <c r="N86" s="30">
        <v>4.4000000000000004</v>
      </c>
      <c r="O86" s="30">
        <v>4.8600000000000003</v>
      </c>
      <c r="P86" s="30">
        <v>4.83</v>
      </c>
    </row>
    <row r="87" spans="2:16" x14ac:dyDescent="0.2">
      <c r="B87" s="29">
        <v>45771</v>
      </c>
      <c r="C87" s="30">
        <v>4.34</v>
      </c>
      <c r="D87" s="30">
        <v>4.3600000000000003</v>
      </c>
      <c r="E87" s="30">
        <v>4.37</v>
      </c>
      <c r="F87" s="30">
        <v>4.32</v>
      </c>
      <c r="G87" s="30">
        <v>4.32</v>
      </c>
      <c r="H87" s="30">
        <v>4.22</v>
      </c>
      <c r="I87" s="30">
        <v>3.97</v>
      </c>
      <c r="J87" s="30">
        <v>3.77</v>
      </c>
      <c r="K87" s="30">
        <v>3.8</v>
      </c>
      <c r="L87" s="30">
        <v>3.91</v>
      </c>
      <c r="M87" s="30">
        <v>4.1100000000000003</v>
      </c>
      <c r="N87" s="30">
        <v>4.32</v>
      </c>
      <c r="O87" s="30">
        <v>4.79</v>
      </c>
      <c r="P87" s="30">
        <v>4.7699999999999996</v>
      </c>
    </row>
    <row r="88" spans="2:16" x14ac:dyDescent="0.2">
      <c r="B88" s="29">
        <v>45772</v>
      </c>
      <c r="C88" s="30">
        <v>4.34</v>
      </c>
      <c r="D88" s="30">
        <v>4.37</v>
      </c>
      <c r="E88" s="30">
        <v>4.3600000000000003</v>
      </c>
      <c r="F88" s="30">
        <v>4.32</v>
      </c>
      <c r="G88" s="30">
        <v>4.32</v>
      </c>
      <c r="H88" s="30">
        <v>4.22</v>
      </c>
      <c r="I88" s="30">
        <v>3.95</v>
      </c>
      <c r="J88" s="30">
        <v>3.74</v>
      </c>
      <c r="K88" s="30">
        <v>3.76</v>
      </c>
      <c r="L88" s="30">
        <v>3.88</v>
      </c>
      <c r="M88" s="30">
        <v>4.0599999999999996</v>
      </c>
      <c r="N88" s="30">
        <v>4.29</v>
      </c>
      <c r="O88" s="30">
        <v>4.75</v>
      </c>
      <c r="P88" s="30">
        <v>4.74</v>
      </c>
    </row>
    <row r="89" spans="2:16" x14ac:dyDescent="0.2">
      <c r="B89" s="29">
        <v>45775</v>
      </c>
      <c r="C89" s="30">
        <v>4.3499999999999996</v>
      </c>
      <c r="D89" s="30">
        <v>4.37</v>
      </c>
      <c r="E89" s="30">
        <v>4.37</v>
      </c>
      <c r="F89" s="30">
        <v>4.32</v>
      </c>
      <c r="G89" s="30">
        <v>4.32</v>
      </c>
      <c r="H89" s="30">
        <v>4.22</v>
      </c>
      <c r="I89" s="30">
        <v>3.92</v>
      </c>
      <c r="J89" s="30">
        <v>3.67</v>
      </c>
      <c r="K89" s="30">
        <v>3.67</v>
      </c>
      <c r="L89" s="30">
        <v>3.81</v>
      </c>
      <c r="M89" s="30">
        <v>4.01</v>
      </c>
      <c r="N89" s="30">
        <v>4.2300000000000004</v>
      </c>
      <c r="O89" s="30">
        <v>4.71</v>
      </c>
      <c r="P89" s="30">
        <v>4.6900000000000004</v>
      </c>
    </row>
    <row r="90" spans="2:16" x14ac:dyDescent="0.2">
      <c r="B90" s="29">
        <v>45776</v>
      </c>
      <c r="C90" s="30">
        <v>4.3499999999999996</v>
      </c>
      <c r="D90" s="30">
        <v>4.38</v>
      </c>
      <c r="E90" s="30">
        <v>4.3600000000000003</v>
      </c>
      <c r="F90" s="30">
        <v>4.3099999999999996</v>
      </c>
      <c r="G90" s="30">
        <v>4.3</v>
      </c>
      <c r="H90" s="30">
        <v>4.2</v>
      </c>
      <c r="I90" s="30">
        <v>3.89</v>
      </c>
      <c r="J90" s="30">
        <v>3.65</v>
      </c>
      <c r="K90" s="30">
        <v>3.65</v>
      </c>
      <c r="L90" s="30">
        <v>3.77</v>
      </c>
      <c r="M90" s="30">
        <v>3.96</v>
      </c>
      <c r="N90" s="30">
        <v>4.1900000000000004</v>
      </c>
      <c r="O90" s="30">
        <v>4.66</v>
      </c>
      <c r="P90" s="30">
        <v>4.6399999999999997</v>
      </c>
    </row>
    <row r="91" spans="2:16" x14ac:dyDescent="0.2">
      <c r="B91" s="29">
        <v>45777</v>
      </c>
      <c r="C91" s="30">
        <v>4.3499999999999996</v>
      </c>
      <c r="D91" s="30">
        <v>4.37</v>
      </c>
      <c r="E91" s="30">
        <v>4.3600000000000003</v>
      </c>
      <c r="F91" s="30">
        <v>4.3099999999999996</v>
      </c>
      <c r="G91" s="30">
        <v>4.37</v>
      </c>
      <c r="H91" s="30">
        <v>4.1900000000000004</v>
      </c>
      <c r="I91" s="30">
        <v>3.85</v>
      </c>
      <c r="J91" s="30">
        <v>3.6</v>
      </c>
      <c r="K91" s="30">
        <v>3.58</v>
      </c>
      <c r="L91" s="30">
        <v>3.72</v>
      </c>
      <c r="M91" s="30">
        <v>3.93</v>
      </c>
      <c r="N91" s="30">
        <v>4.17</v>
      </c>
      <c r="O91" s="30">
        <v>4.68</v>
      </c>
      <c r="P91" s="30">
        <v>4.66</v>
      </c>
    </row>
    <row r="92" spans="2:16" x14ac:dyDescent="0.2">
      <c r="B92" s="29">
        <v>45778</v>
      </c>
      <c r="C92" s="30">
        <v>4.38</v>
      </c>
      <c r="D92" s="30">
        <v>4.3600000000000003</v>
      </c>
      <c r="E92" s="30">
        <v>4.34</v>
      </c>
      <c r="F92" s="30">
        <v>4.3099999999999996</v>
      </c>
      <c r="G92" s="30">
        <v>4.38</v>
      </c>
      <c r="H92" s="30">
        <v>4.22</v>
      </c>
      <c r="I92" s="30">
        <v>3.92</v>
      </c>
      <c r="J92" s="30">
        <v>3.7</v>
      </c>
      <c r="K92" s="30">
        <v>3.69</v>
      </c>
      <c r="L92" s="30">
        <v>3.81</v>
      </c>
      <c r="M92" s="30">
        <v>4.0199999999999996</v>
      </c>
      <c r="N92" s="30">
        <v>4.25</v>
      </c>
      <c r="O92" s="30">
        <v>4.75</v>
      </c>
      <c r="P92" s="30">
        <v>4.74</v>
      </c>
    </row>
    <row r="93" spans="2:16" x14ac:dyDescent="0.2">
      <c r="B93" s="29">
        <v>45779</v>
      </c>
      <c r="C93" s="30">
        <v>4.38</v>
      </c>
      <c r="D93" s="30">
        <v>4.3600000000000003</v>
      </c>
      <c r="E93" s="30">
        <v>4.34</v>
      </c>
      <c r="F93" s="30">
        <v>4.33</v>
      </c>
      <c r="G93" s="30">
        <v>4.41</v>
      </c>
      <c r="H93" s="30">
        <v>4.26</v>
      </c>
      <c r="I93" s="30">
        <v>4</v>
      </c>
      <c r="J93" s="30">
        <v>3.83</v>
      </c>
      <c r="K93" s="30">
        <v>3.82</v>
      </c>
      <c r="L93" s="30">
        <v>3.92</v>
      </c>
      <c r="M93" s="30">
        <v>4.1100000000000003</v>
      </c>
      <c r="N93" s="30">
        <v>4.33</v>
      </c>
      <c r="O93" s="30">
        <v>4.8099999999999996</v>
      </c>
      <c r="P93" s="30">
        <v>4.79</v>
      </c>
    </row>
    <row r="94" spans="2:16" x14ac:dyDescent="0.2">
      <c r="B94" s="29">
        <v>45782</v>
      </c>
      <c r="C94" s="30">
        <v>4.38</v>
      </c>
      <c r="D94" s="30">
        <v>4.3600000000000003</v>
      </c>
      <c r="E94" s="30">
        <v>4.34</v>
      </c>
      <c r="F94" s="30">
        <v>4.33</v>
      </c>
      <c r="G94" s="30">
        <v>4.4000000000000004</v>
      </c>
      <c r="H94" s="30">
        <v>4.2699999999999996</v>
      </c>
      <c r="I94" s="30">
        <v>4.0199999999999996</v>
      </c>
      <c r="J94" s="30">
        <v>3.83</v>
      </c>
      <c r="K94" s="30">
        <v>3.78</v>
      </c>
      <c r="L94" s="30">
        <v>3.95</v>
      </c>
      <c r="M94" s="30">
        <v>4.1399999999999997</v>
      </c>
      <c r="N94" s="30">
        <v>4.3600000000000003</v>
      </c>
      <c r="O94" s="30">
        <v>4.84</v>
      </c>
      <c r="P94" s="30">
        <v>4.83</v>
      </c>
    </row>
    <row r="95" spans="2:16" x14ac:dyDescent="0.2">
      <c r="B95" s="29">
        <v>45783</v>
      </c>
      <c r="C95" s="30">
        <v>4.37</v>
      </c>
      <c r="D95" s="30">
        <v>4.37</v>
      </c>
      <c r="E95" s="30">
        <v>4.33</v>
      </c>
      <c r="F95" s="30">
        <v>4.33</v>
      </c>
      <c r="G95" s="30">
        <v>4.38</v>
      </c>
      <c r="H95" s="30">
        <v>4.25</v>
      </c>
      <c r="I95" s="30">
        <v>3.98</v>
      </c>
      <c r="J95" s="30">
        <v>3.78</v>
      </c>
      <c r="K95" s="30">
        <v>3.73</v>
      </c>
      <c r="L95" s="30">
        <v>3.9</v>
      </c>
      <c r="M95" s="30">
        <v>4.0999999999999996</v>
      </c>
      <c r="N95" s="30">
        <v>4.3</v>
      </c>
      <c r="O95" s="30">
        <v>4.82</v>
      </c>
      <c r="P95" s="30">
        <v>4.8099999999999996</v>
      </c>
    </row>
    <row r="96" spans="2:16" x14ac:dyDescent="0.2">
      <c r="B96" s="29">
        <v>45784</v>
      </c>
      <c r="C96" s="30">
        <v>4.37</v>
      </c>
      <c r="D96" s="30">
        <v>4.37</v>
      </c>
      <c r="E96" s="30">
        <v>4.33</v>
      </c>
      <c r="F96" s="30">
        <v>4.34</v>
      </c>
      <c r="G96" s="30">
        <v>4.3899999999999997</v>
      </c>
      <c r="H96" s="30">
        <v>4.2699999999999996</v>
      </c>
      <c r="I96" s="30">
        <v>4</v>
      </c>
      <c r="J96" s="30">
        <v>3.78</v>
      </c>
      <c r="K96" s="30">
        <v>3.72</v>
      </c>
      <c r="L96" s="30">
        <v>3.87</v>
      </c>
      <c r="M96" s="30">
        <v>4.0599999999999996</v>
      </c>
      <c r="N96" s="30">
        <v>4.26</v>
      </c>
      <c r="O96" s="30">
        <v>4.78</v>
      </c>
      <c r="P96" s="30">
        <v>4.7699999999999996</v>
      </c>
    </row>
    <row r="97" spans="2:16" x14ac:dyDescent="0.2">
      <c r="B97" s="29">
        <v>45785</v>
      </c>
      <c r="C97" s="30">
        <v>4.37</v>
      </c>
      <c r="D97" s="30">
        <v>4.37</v>
      </c>
      <c r="E97" s="30">
        <v>4.3499999999999996</v>
      </c>
      <c r="F97" s="30">
        <v>4.34</v>
      </c>
      <c r="G97" s="30">
        <v>4.4000000000000004</v>
      </c>
      <c r="H97" s="30">
        <v>4.28</v>
      </c>
      <c r="I97" s="30">
        <v>4.05</v>
      </c>
      <c r="J97" s="30">
        <v>3.9</v>
      </c>
      <c r="K97" s="30">
        <v>3.85</v>
      </c>
      <c r="L97" s="30">
        <v>4</v>
      </c>
      <c r="M97" s="30">
        <v>4.18</v>
      </c>
      <c r="N97" s="30">
        <v>4.37</v>
      </c>
      <c r="O97" s="30">
        <v>4.8600000000000003</v>
      </c>
      <c r="P97" s="30">
        <v>4.83</v>
      </c>
    </row>
    <row r="98" spans="2:16" x14ac:dyDescent="0.2">
      <c r="B98" s="29">
        <v>45786</v>
      </c>
      <c r="C98" s="30">
        <v>4.37</v>
      </c>
      <c r="D98" s="30">
        <v>4.3600000000000003</v>
      </c>
      <c r="E98" s="30">
        <v>4.34</v>
      </c>
      <c r="F98" s="30">
        <v>4.34</v>
      </c>
      <c r="G98" s="30">
        <v>4.4000000000000004</v>
      </c>
      <c r="H98" s="30">
        <v>4.28</v>
      </c>
      <c r="I98" s="30">
        <v>4.05</v>
      </c>
      <c r="J98" s="30">
        <v>3.88</v>
      </c>
      <c r="K98" s="30">
        <v>3.85</v>
      </c>
      <c r="L98" s="30">
        <v>4</v>
      </c>
      <c r="M98" s="30">
        <v>4.18</v>
      </c>
      <c r="N98" s="30">
        <v>4.37</v>
      </c>
      <c r="O98" s="30">
        <v>4.8600000000000003</v>
      </c>
      <c r="P98" s="30">
        <v>4.83</v>
      </c>
    </row>
    <row r="99" spans="2:16" x14ac:dyDescent="0.2">
      <c r="B99" s="29">
        <v>45789</v>
      </c>
      <c r="C99" s="30">
        <v>4.38</v>
      </c>
      <c r="D99" s="30">
        <v>4.37</v>
      </c>
      <c r="E99" s="30">
        <v>4.3600000000000003</v>
      </c>
      <c r="F99" s="30">
        <v>4.42</v>
      </c>
      <c r="G99" s="30">
        <v>4.45</v>
      </c>
      <c r="H99" s="30">
        <v>4.29</v>
      </c>
      <c r="I99" s="30">
        <v>4.1100000000000003</v>
      </c>
      <c r="J99" s="30">
        <v>3.98</v>
      </c>
      <c r="K99" s="30">
        <v>3.97</v>
      </c>
      <c r="L99" s="30">
        <v>4.09</v>
      </c>
      <c r="M99" s="30">
        <v>4.2699999999999996</v>
      </c>
      <c r="N99" s="30">
        <v>4.45</v>
      </c>
      <c r="O99" s="30">
        <v>4.92</v>
      </c>
      <c r="P99" s="30">
        <v>4.8899999999999997</v>
      </c>
    </row>
    <row r="100" spans="2:16" x14ac:dyDescent="0.2">
      <c r="B100" s="29">
        <v>45790</v>
      </c>
      <c r="C100" s="30">
        <v>4.3899999999999997</v>
      </c>
      <c r="D100" s="30">
        <v>4.38</v>
      </c>
      <c r="E100" s="30">
        <v>4.3499999999999996</v>
      </c>
      <c r="F100" s="30">
        <v>4.41</v>
      </c>
      <c r="G100" s="30">
        <v>4.45</v>
      </c>
      <c r="H100" s="30">
        <v>4.29</v>
      </c>
      <c r="I100" s="30">
        <v>4.1100000000000003</v>
      </c>
      <c r="J100" s="30">
        <v>4.0199999999999996</v>
      </c>
      <c r="K100" s="30">
        <v>4</v>
      </c>
      <c r="L100" s="30">
        <v>4.12</v>
      </c>
      <c r="M100" s="30">
        <v>4.3</v>
      </c>
      <c r="N100" s="30">
        <v>4.49</v>
      </c>
      <c r="O100" s="30">
        <v>4.97</v>
      </c>
      <c r="P100" s="30">
        <v>4.9400000000000004</v>
      </c>
    </row>
    <row r="101" spans="2:16" x14ac:dyDescent="0.2">
      <c r="B101" s="29">
        <v>45791</v>
      </c>
      <c r="C101" s="30">
        <v>4.3899999999999997</v>
      </c>
      <c r="D101" s="30">
        <v>4.38</v>
      </c>
      <c r="E101" s="30">
        <v>4.3600000000000003</v>
      </c>
      <c r="F101" s="30">
        <v>4.41</v>
      </c>
      <c r="G101" s="30">
        <v>4.4400000000000004</v>
      </c>
      <c r="H101" s="30">
        <v>4.3</v>
      </c>
      <c r="I101" s="30">
        <v>4.1399999999999997</v>
      </c>
      <c r="J101" s="30">
        <v>4.05</v>
      </c>
      <c r="K101" s="30">
        <v>4.05</v>
      </c>
      <c r="L101" s="30">
        <v>4.17</v>
      </c>
      <c r="M101" s="30">
        <v>4.3499999999999996</v>
      </c>
      <c r="N101" s="30">
        <v>4.53</v>
      </c>
      <c r="O101" s="30">
        <v>5</v>
      </c>
      <c r="P101" s="30">
        <v>4.97</v>
      </c>
    </row>
    <row r="102" spans="2:16" x14ac:dyDescent="0.2">
      <c r="B102" s="29">
        <v>45792</v>
      </c>
      <c r="C102" s="30">
        <v>4.37</v>
      </c>
      <c r="D102" s="30">
        <v>4.38</v>
      </c>
      <c r="E102" s="30">
        <v>4.3499999999999996</v>
      </c>
      <c r="F102" s="30">
        <v>4.38</v>
      </c>
      <c r="G102" s="30">
        <v>4.43</v>
      </c>
      <c r="H102" s="30">
        <v>4.29</v>
      </c>
      <c r="I102" s="30">
        <v>4.0999999999999996</v>
      </c>
      <c r="J102" s="30">
        <v>3.96</v>
      </c>
      <c r="K102" s="30">
        <v>3.95</v>
      </c>
      <c r="L102" s="30">
        <v>4.07</v>
      </c>
      <c r="M102" s="30">
        <v>4.25</v>
      </c>
      <c r="N102" s="30">
        <v>4.45</v>
      </c>
      <c r="O102" s="30">
        <v>4.93</v>
      </c>
      <c r="P102" s="30">
        <v>4.91</v>
      </c>
    </row>
    <row r="103" spans="2:16" x14ac:dyDescent="0.2">
      <c r="B103" s="29">
        <v>45793</v>
      </c>
      <c r="C103" s="30">
        <v>4.37</v>
      </c>
      <c r="D103" s="30">
        <v>4.3600000000000003</v>
      </c>
      <c r="E103" s="30">
        <v>4.34</v>
      </c>
      <c r="F103" s="30">
        <v>4.37</v>
      </c>
      <c r="G103" s="30">
        <v>4.42</v>
      </c>
      <c r="H103" s="30">
        <v>4.3</v>
      </c>
      <c r="I103" s="30">
        <v>4.13</v>
      </c>
      <c r="J103" s="30">
        <v>3.98</v>
      </c>
      <c r="K103" s="30">
        <v>3.95</v>
      </c>
      <c r="L103" s="30">
        <v>4.0599999999999996</v>
      </c>
      <c r="M103" s="30">
        <v>4.24</v>
      </c>
      <c r="N103" s="30">
        <v>4.43</v>
      </c>
      <c r="O103" s="30">
        <v>4.92</v>
      </c>
      <c r="P103" s="30">
        <v>4.8899999999999997</v>
      </c>
    </row>
    <row r="104" spans="2:16" x14ac:dyDescent="0.2">
      <c r="B104" s="29">
        <v>45796</v>
      </c>
      <c r="C104" s="30">
        <v>4.37</v>
      </c>
      <c r="D104" s="30">
        <v>4.3600000000000003</v>
      </c>
      <c r="E104" s="30">
        <v>4.3499999999999996</v>
      </c>
      <c r="F104" s="30">
        <v>4.3899999999999997</v>
      </c>
      <c r="G104" s="30">
        <v>4.42</v>
      </c>
      <c r="H104" s="30">
        <v>4.32</v>
      </c>
      <c r="I104" s="30">
        <v>4.12</v>
      </c>
      <c r="J104" s="30">
        <v>3.97</v>
      </c>
      <c r="K104" s="30">
        <v>3.95</v>
      </c>
      <c r="L104" s="30">
        <v>4.07</v>
      </c>
      <c r="M104" s="30">
        <v>4.26</v>
      </c>
      <c r="N104" s="30">
        <v>4.46</v>
      </c>
      <c r="O104" s="30">
        <v>4.95</v>
      </c>
      <c r="P104" s="30">
        <v>4.92</v>
      </c>
    </row>
    <row r="105" spans="2:16" x14ac:dyDescent="0.2">
      <c r="B105" s="29">
        <v>45797</v>
      </c>
      <c r="C105" s="30">
        <v>4.3600000000000003</v>
      </c>
      <c r="D105" s="30">
        <v>4.3499999999999996</v>
      </c>
      <c r="E105" s="30">
        <v>4.34</v>
      </c>
      <c r="F105" s="30">
        <v>4.38</v>
      </c>
      <c r="G105" s="30">
        <v>4.42</v>
      </c>
      <c r="H105" s="30">
        <v>4.32</v>
      </c>
      <c r="I105" s="30">
        <v>4.12</v>
      </c>
      <c r="J105" s="30">
        <v>3.97</v>
      </c>
      <c r="K105" s="30">
        <v>3.95</v>
      </c>
      <c r="L105" s="30">
        <v>4.07</v>
      </c>
      <c r="M105" s="30">
        <v>4.2699999999999996</v>
      </c>
      <c r="N105" s="30">
        <v>4.4800000000000004</v>
      </c>
      <c r="O105" s="30">
        <v>4.99</v>
      </c>
      <c r="P105" s="30">
        <v>4.96</v>
      </c>
    </row>
    <row r="106" spans="2:16" x14ac:dyDescent="0.2">
      <c r="B106" s="29">
        <v>45798</v>
      </c>
      <c r="C106" s="30">
        <v>4.3499999999999996</v>
      </c>
      <c r="D106" s="30">
        <v>4.34</v>
      </c>
      <c r="E106" s="30">
        <v>4.34</v>
      </c>
      <c r="F106" s="30">
        <v>4.3600000000000003</v>
      </c>
      <c r="G106" s="30">
        <v>4.42</v>
      </c>
      <c r="H106" s="30">
        <v>4.33</v>
      </c>
      <c r="I106" s="30">
        <v>4.13</v>
      </c>
      <c r="J106" s="30">
        <v>4</v>
      </c>
      <c r="K106" s="30">
        <v>4</v>
      </c>
      <c r="L106" s="30">
        <v>4.1500000000000004</v>
      </c>
      <c r="M106" s="30">
        <v>4.37</v>
      </c>
      <c r="N106" s="30">
        <v>4.58</v>
      </c>
      <c r="O106" s="30">
        <v>5.08</v>
      </c>
      <c r="P106" s="30">
        <v>5.08</v>
      </c>
    </row>
    <row r="107" spans="2:16" x14ac:dyDescent="0.2">
      <c r="B107" s="29">
        <v>45799</v>
      </c>
      <c r="C107" s="30">
        <v>4.37</v>
      </c>
      <c r="D107" s="30">
        <v>4.34</v>
      </c>
      <c r="E107" s="30">
        <v>4.3499999999999996</v>
      </c>
      <c r="F107" s="30">
        <v>4.37</v>
      </c>
      <c r="G107" s="30">
        <v>4.42</v>
      </c>
      <c r="H107" s="30">
        <v>4.34</v>
      </c>
      <c r="I107" s="30">
        <v>4.13</v>
      </c>
      <c r="J107" s="30">
        <v>4</v>
      </c>
      <c r="K107" s="30">
        <v>3.99</v>
      </c>
      <c r="L107" s="30">
        <v>4.1100000000000003</v>
      </c>
      <c r="M107" s="30">
        <v>4.32</v>
      </c>
      <c r="N107" s="30">
        <v>4.54</v>
      </c>
      <c r="O107" s="30">
        <v>5.05</v>
      </c>
      <c r="P107" s="30">
        <v>5.05</v>
      </c>
    </row>
    <row r="108" spans="2:16" x14ac:dyDescent="0.2">
      <c r="B108" s="29">
        <v>45800</v>
      </c>
      <c r="C108" s="30">
        <v>4.3600000000000003</v>
      </c>
      <c r="D108" s="30">
        <v>4.34</v>
      </c>
      <c r="E108" s="30">
        <v>4.3499999999999996</v>
      </c>
      <c r="F108" s="30">
        <v>4.3600000000000003</v>
      </c>
      <c r="G108" s="30">
        <v>4.43</v>
      </c>
      <c r="H108" s="30">
        <v>4.3499999999999996</v>
      </c>
      <c r="I108" s="30">
        <v>4.1500000000000004</v>
      </c>
      <c r="J108" s="30">
        <v>4</v>
      </c>
      <c r="K108" s="30">
        <v>3.96</v>
      </c>
      <c r="L108" s="30">
        <v>4.08</v>
      </c>
      <c r="M108" s="30">
        <v>4.29</v>
      </c>
      <c r="N108" s="30">
        <v>4.51</v>
      </c>
      <c r="O108" s="30">
        <v>5.03</v>
      </c>
      <c r="P108" s="30">
        <v>5.04</v>
      </c>
    </row>
    <row r="109" spans="2:16" x14ac:dyDescent="0.2">
      <c r="B109" s="29">
        <v>45804</v>
      </c>
      <c r="C109" s="30">
        <v>4.3499999999999996</v>
      </c>
      <c r="D109" s="30">
        <v>4.3499999999999996</v>
      </c>
      <c r="E109" s="30">
        <v>4.3499999999999996</v>
      </c>
      <c r="F109" s="30">
        <v>4.3499999999999996</v>
      </c>
      <c r="G109" s="30">
        <v>4.43</v>
      </c>
      <c r="H109" s="30">
        <v>4.3499999999999996</v>
      </c>
      <c r="I109" s="30">
        <v>4.1399999999999997</v>
      </c>
      <c r="J109" s="30">
        <v>3.92</v>
      </c>
      <c r="K109" s="30">
        <v>3.93</v>
      </c>
      <c r="L109" s="30">
        <v>4.04</v>
      </c>
      <c r="M109" s="30">
        <v>4.22</v>
      </c>
      <c r="N109" s="30">
        <v>4.43</v>
      </c>
      <c r="O109" s="30">
        <v>4.95</v>
      </c>
      <c r="P109" s="30">
        <v>4.9400000000000004</v>
      </c>
    </row>
    <row r="110" spans="2:16" x14ac:dyDescent="0.2">
      <c r="B110" s="29">
        <v>45805</v>
      </c>
      <c r="C110" s="30">
        <v>4.3499999999999996</v>
      </c>
      <c r="D110" s="30">
        <v>4.3499999999999996</v>
      </c>
      <c r="E110" s="30">
        <v>4.3499999999999996</v>
      </c>
      <c r="F110" s="30">
        <v>4.3499999999999996</v>
      </c>
      <c r="G110" s="30">
        <v>4.38</v>
      </c>
      <c r="H110" s="30">
        <v>4.3600000000000003</v>
      </c>
      <c r="I110" s="30">
        <v>4.16</v>
      </c>
      <c r="J110" s="30">
        <v>3.96</v>
      </c>
      <c r="K110" s="30">
        <v>3.95</v>
      </c>
      <c r="L110" s="30">
        <v>4.05</v>
      </c>
      <c r="M110" s="30">
        <v>4.2699999999999996</v>
      </c>
      <c r="N110" s="30">
        <v>4.47</v>
      </c>
      <c r="O110" s="30">
        <v>4.99</v>
      </c>
      <c r="P110" s="30">
        <v>4.97</v>
      </c>
    </row>
    <row r="111" spans="2:16" x14ac:dyDescent="0.2">
      <c r="B111" s="29">
        <v>45806</v>
      </c>
      <c r="C111" s="30">
        <v>4.34</v>
      </c>
      <c r="D111" s="30">
        <v>4.34</v>
      </c>
      <c r="E111" s="30">
        <v>4.3499999999999996</v>
      </c>
      <c r="F111" s="30">
        <v>4.3600000000000003</v>
      </c>
      <c r="G111" s="30">
        <v>4.3899999999999997</v>
      </c>
      <c r="H111" s="30">
        <v>4.3600000000000003</v>
      </c>
      <c r="I111" s="30">
        <v>4.13</v>
      </c>
      <c r="J111" s="30">
        <v>3.92</v>
      </c>
      <c r="K111" s="30">
        <v>3.91</v>
      </c>
      <c r="L111" s="30">
        <v>4</v>
      </c>
      <c r="M111" s="30">
        <v>4.2</v>
      </c>
      <c r="N111" s="30">
        <v>4.43</v>
      </c>
      <c r="O111" s="30">
        <v>4.9400000000000004</v>
      </c>
      <c r="P111" s="30">
        <v>4.92</v>
      </c>
    </row>
    <row r="112" spans="2:16" x14ac:dyDescent="0.2">
      <c r="B112" s="29">
        <v>45807</v>
      </c>
      <c r="C112" s="30">
        <v>4.33</v>
      </c>
      <c r="D112" s="30">
        <v>4.3499999999999996</v>
      </c>
      <c r="E112" s="30">
        <v>4.3499999999999996</v>
      </c>
      <c r="F112" s="30">
        <v>4.3600000000000003</v>
      </c>
      <c r="G112" s="30">
        <v>4.3899999999999997</v>
      </c>
      <c r="H112" s="30">
        <v>4.3600000000000003</v>
      </c>
      <c r="I112" s="30">
        <v>4.1100000000000003</v>
      </c>
      <c r="J112" s="30">
        <v>3.89</v>
      </c>
      <c r="K112" s="30">
        <v>3.87</v>
      </c>
      <c r="L112" s="30">
        <v>3.96</v>
      </c>
      <c r="M112" s="30">
        <v>4.18</v>
      </c>
      <c r="N112" s="30">
        <v>4.41</v>
      </c>
      <c r="O112" s="30">
        <v>4.93</v>
      </c>
      <c r="P112" s="30">
        <v>4.92</v>
      </c>
    </row>
    <row r="113" spans="2:16" x14ac:dyDescent="0.2">
      <c r="B113" s="29">
        <v>45810</v>
      </c>
      <c r="C113" s="30">
        <v>4.33</v>
      </c>
      <c r="D113" s="30">
        <v>4.33</v>
      </c>
      <c r="E113" s="30">
        <v>4.3600000000000003</v>
      </c>
      <c r="F113" s="30">
        <v>4.4400000000000004</v>
      </c>
      <c r="G113" s="30">
        <v>4.38</v>
      </c>
      <c r="H113" s="30">
        <v>4.3099999999999996</v>
      </c>
      <c r="I113" s="30">
        <v>4.12</v>
      </c>
      <c r="J113" s="30">
        <v>3.94</v>
      </c>
      <c r="K113" s="30">
        <v>3.91</v>
      </c>
      <c r="L113" s="30">
        <v>4.01</v>
      </c>
      <c r="M113" s="30">
        <v>4.22</v>
      </c>
      <c r="N113" s="30">
        <v>4.46</v>
      </c>
      <c r="O113" s="30">
        <v>5</v>
      </c>
      <c r="P113" s="30">
        <v>4.99</v>
      </c>
    </row>
    <row r="114" spans="2:16" x14ac:dyDescent="0.2">
      <c r="B114" s="29">
        <v>45811</v>
      </c>
      <c r="C114" s="30">
        <v>4.33</v>
      </c>
      <c r="D114" s="30">
        <v>4.34</v>
      </c>
      <c r="E114" s="30">
        <v>4.3499999999999996</v>
      </c>
      <c r="F114" s="30">
        <v>4.43</v>
      </c>
      <c r="G114" s="30">
        <v>4.38</v>
      </c>
      <c r="H114" s="30">
        <v>4.3099999999999996</v>
      </c>
      <c r="I114" s="30">
        <v>4.12</v>
      </c>
      <c r="J114" s="30">
        <v>3.96</v>
      </c>
      <c r="K114" s="30">
        <v>3.93</v>
      </c>
      <c r="L114" s="30">
        <v>4.04</v>
      </c>
      <c r="M114" s="30">
        <v>4.2300000000000004</v>
      </c>
      <c r="N114" s="30">
        <v>4.46</v>
      </c>
      <c r="O114" s="30">
        <v>5</v>
      </c>
      <c r="P114" s="30">
        <v>4.9800000000000004</v>
      </c>
    </row>
    <row r="115" spans="2:16" x14ac:dyDescent="0.2">
      <c r="B115" s="29">
        <v>45812</v>
      </c>
      <c r="C115" s="30">
        <v>4.32</v>
      </c>
      <c r="D115" s="30">
        <v>4.34</v>
      </c>
      <c r="E115" s="30">
        <v>4.3499999999999996</v>
      </c>
      <c r="F115" s="30">
        <v>4.4400000000000004</v>
      </c>
      <c r="G115" s="30">
        <v>4.37</v>
      </c>
      <c r="H115" s="30">
        <v>4.29</v>
      </c>
      <c r="I115" s="30">
        <v>4.0599999999999996</v>
      </c>
      <c r="J115" s="30">
        <v>3.87</v>
      </c>
      <c r="K115" s="30">
        <v>3.84</v>
      </c>
      <c r="L115" s="30">
        <v>3.93</v>
      </c>
      <c r="M115" s="30">
        <v>4.1399999999999997</v>
      </c>
      <c r="N115" s="30">
        <v>4.37</v>
      </c>
      <c r="O115" s="30">
        <v>4.9000000000000004</v>
      </c>
      <c r="P115" s="30">
        <v>4.8899999999999997</v>
      </c>
    </row>
    <row r="116" spans="2:16" x14ac:dyDescent="0.2">
      <c r="B116" s="29">
        <v>45813</v>
      </c>
      <c r="C116" s="30">
        <v>4.26</v>
      </c>
      <c r="D116" s="30">
        <v>4.33</v>
      </c>
      <c r="E116" s="30">
        <v>4.3499999999999996</v>
      </c>
      <c r="F116" s="30">
        <v>4.4400000000000004</v>
      </c>
      <c r="G116" s="30">
        <v>4.37</v>
      </c>
      <c r="H116" s="30">
        <v>4.29</v>
      </c>
      <c r="I116" s="30">
        <v>4.08</v>
      </c>
      <c r="J116" s="30">
        <v>3.92</v>
      </c>
      <c r="K116" s="30">
        <v>3.9</v>
      </c>
      <c r="L116" s="30">
        <v>3.99</v>
      </c>
      <c r="M116" s="30">
        <v>4.18</v>
      </c>
      <c r="N116" s="30">
        <v>4.4000000000000004</v>
      </c>
      <c r="O116" s="30">
        <v>4.9000000000000004</v>
      </c>
      <c r="P116" s="30">
        <v>4.88</v>
      </c>
    </row>
    <row r="117" spans="2:16" x14ac:dyDescent="0.2">
      <c r="B117" s="29">
        <v>45814</v>
      </c>
      <c r="C117" s="30">
        <v>4.28</v>
      </c>
      <c r="D117" s="30">
        <v>4.3099999999999996</v>
      </c>
      <c r="E117" s="30">
        <v>4.3499999999999996</v>
      </c>
      <c r="F117" s="30">
        <v>4.43</v>
      </c>
      <c r="G117" s="30">
        <v>4.38</v>
      </c>
      <c r="H117" s="30">
        <v>4.3099999999999996</v>
      </c>
      <c r="I117" s="30">
        <v>4.1399999999999997</v>
      </c>
      <c r="J117" s="30">
        <v>4.04</v>
      </c>
      <c r="K117" s="30">
        <v>4.0199999999999996</v>
      </c>
      <c r="L117" s="30">
        <v>4.13</v>
      </c>
      <c r="M117" s="30">
        <v>4.3099999999999996</v>
      </c>
      <c r="N117" s="30">
        <v>4.51</v>
      </c>
      <c r="O117" s="30">
        <v>4.99</v>
      </c>
      <c r="P117" s="30">
        <v>4.97</v>
      </c>
    </row>
    <row r="118" spans="2:16" x14ac:dyDescent="0.2">
      <c r="B118" s="29">
        <v>45817</v>
      </c>
      <c r="C118" s="30">
        <v>4.29</v>
      </c>
      <c r="D118" s="30">
        <v>4.32</v>
      </c>
      <c r="E118" s="30">
        <v>4.3600000000000003</v>
      </c>
      <c r="F118" s="30">
        <v>4.4400000000000004</v>
      </c>
      <c r="G118" s="30">
        <v>4.38</v>
      </c>
      <c r="H118" s="30">
        <v>4.32</v>
      </c>
      <c r="I118" s="30">
        <v>4.13</v>
      </c>
      <c r="J118" s="30">
        <v>4.01</v>
      </c>
      <c r="K118" s="30">
        <v>3.99</v>
      </c>
      <c r="L118" s="30">
        <v>4.09</v>
      </c>
      <c r="M118" s="30">
        <v>4.28</v>
      </c>
      <c r="N118" s="30">
        <v>4.49</v>
      </c>
      <c r="O118" s="30">
        <v>4.9800000000000004</v>
      </c>
      <c r="P118" s="30">
        <v>4.95</v>
      </c>
    </row>
    <row r="119" spans="2:16" x14ac:dyDescent="0.2">
      <c r="B119" s="29">
        <v>45818</v>
      </c>
      <c r="C119" s="30">
        <v>4.29</v>
      </c>
      <c r="D119" s="30">
        <v>4.3099999999999996</v>
      </c>
      <c r="E119" s="30">
        <v>4.37</v>
      </c>
      <c r="F119" s="30">
        <v>4.45</v>
      </c>
      <c r="G119" s="30">
        <v>4.38</v>
      </c>
      <c r="H119" s="30">
        <v>4.32</v>
      </c>
      <c r="I119" s="30">
        <v>4.12</v>
      </c>
      <c r="J119" s="30">
        <v>4.01</v>
      </c>
      <c r="K119" s="30">
        <v>3.95</v>
      </c>
      <c r="L119" s="30">
        <v>4.08</v>
      </c>
      <c r="M119" s="30">
        <v>4.2699999999999996</v>
      </c>
      <c r="N119" s="30">
        <v>4.47</v>
      </c>
      <c r="O119" s="30">
        <v>4.96</v>
      </c>
      <c r="P119" s="30">
        <v>4.93</v>
      </c>
    </row>
    <row r="120" spans="2:16" x14ac:dyDescent="0.2">
      <c r="B120" s="29">
        <v>45819</v>
      </c>
      <c r="C120" s="30">
        <v>4.3</v>
      </c>
      <c r="D120" s="30">
        <v>4.32</v>
      </c>
      <c r="E120" s="30">
        <v>4.3899999999999997</v>
      </c>
      <c r="F120" s="30">
        <v>4.45</v>
      </c>
      <c r="G120" s="30">
        <v>4.3899999999999997</v>
      </c>
      <c r="H120" s="30">
        <v>4.3099999999999996</v>
      </c>
      <c r="I120" s="30">
        <v>4.08</v>
      </c>
      <c r="J120" s="30">
        <v>3.94</v>
      </c>
      <c r="K120" s="30">
        <v>3.89</v>
      </c>
      <c r="L120" s="30">
        <v>4.0199999999999996</v>
      </c>
      <c r="M120" s="30">
        <v>4.21</v>
      </c>
      <c r="N120" s="30">
        <v>4.41</v>
      </c>
      <c r="O120" s="30">
        <v>4.93</v>
      </c>
      <c r="P120" s="30">
        <v>4.91</v>
      </c>
    </row>
    <row r="121" spans="2:16" x14ac:dyDescent="0.2">
      <c r="B121" s="29">
        <v>45820</v>
      </c>
      <c r="C121" s="30">
        <v>4.18</v>
      </c>
      <c r="D121" s="30">
        <v>4.3</v>
      </c>
      <c r="E121" s="30">
        <v>4.49</v>
      </c>
      <c r="F121" s="30">
        <v>4.46</v>
      </c>
      <c r="G121" s="30">
        <v>4.4000000000000004</v>
      </c>
      <c r="H121" s="30">
        <v>4.29</v>
      </c>
      <c r="I121" s="30">
        <v>4.0599999999999996</v>
      </c>
      <c r="J121" s="30">
        <v>3.9</v>
      </c>
      <c r="K121" s="30">
        <v>3.85</v>
      </c>
      <c r="L121" s="30">
        <v>3.97</v>
      </c>
      <c r="M121" s="30">
        <v>4.1500000000000004</v>
      </c>
      <c r="N121" s="30">
        <v>4.3600000000000003</v>
      </c>
      <c r="O121" s="30">
        <v>4.8600000000000003</v>
      </c>
      <c r="P121" s="30">
        <v>4.84</v>
      </c>
    </row>
    <row r="122" spans="2:16" x14ac:dyDescent="0.2">
      <c r="B122" s="29">
        <v>45821</v>
      </c>
      <c r="C122" s="30">
        <v>4.2300000000000004</v>
      </c>
      <c r="D122" s="30">
        <v>4.32</v>
      </c>
      <c r="E122" s="30">
        <v>4.4800000000000004</v>
      </c>
      <c r="F122" s="30">
        <v>4.45</v>
      </c>
      <c r="G122" s="30">
        <v>4.4000000000000004</v>
      </c>
      <c r="H122" s="30">
        <v>4.3</v>
      </c>
      <c r="I122" s="30">
        <v>4.09</v>
      </c>
      <c r="J122" s="30">
        <v>3.96</v>
      </c>
      <c r="K122" s="30">
        <v>3.9</v>
      </c>
      <c r="L122" s="30">
        <v>4.0199999999999996</v>
      </c>
      <c r="M122" s="30">
        <v>4.2</v>
      </c>
      <c r="N122" s="30">
        <v>4.41</v>
      </c>
      <c r="O122" s="30">
        <v>4.93</v>
      </c>
      <c r="P122" s="30">
        <v>4.9000000000000004</v>
      </c>
    </row>
    <row r="123" spans="2:16" x14ac:dyDescent="0.2">
      <c r="B123" s="29">
        <v>45824</v>
      </c>
      <c r="C123" s="30">
        <v>4.24</v>
      </c>
      <c r="D123" s="30">
        <v>4.3600000000000003</v>
      </c>
      <c r="E123" s="30">
        <v>4.47</v>
      </c>
      <c r="F123" s="30">
        <v>4.43</v>
      </c>
      <c r="G123" s="30">
        <v>4.4000000000000004</v>
      </c>
      <c r="H123" s="30">
        <v>4.32</v>
      </c>
      <c r="I123" s="30">
        <v>4.0999999999999996</v>
      </c>
      <c r="J123" s="30">
        <v>3.97</v>
      </c>
      <c r="K123" s="30">
        <v>3.93</v>
      </c>
      <c r="L123" s="30">
        <v>4.04</v>
      </c>
      <c r="M123" s="30">
        <v>4.2300000000000004</v>
      </c>
      <c r="N123" s="30">
        <v>4.46</v>
      </c>
      <c r="O123" s="30">
        <v>4.97</v>
      </c>
      <c r="P123" s="30">
        <v>4.96</v>
      </c>
    </row>
    <row r="124" spans="2:16" x14ac:dyDescent="0.2">
      <c r="B124" s="29">
        <v>45825</v>
      </c>
      <c r="C124" s="30">
        <v>4.2300000000000004</v>
      </c>
      <c r="D124" s="30">
        <v>4.3099999999999996</v>
      </c>
      <c r="E124" s="30">
        <v>4.46</v>
      </c>
      <c r="F124" s="30">
        <v>4.42</v>
      </c>
      <c r="G124" s="30">
        <v>4.3899999999999997</v>
      </c>
      <c r="H124" s="30">
        <v>4.3099999999999996</v>
      </c>
      <c r="I124" s="30">
        <v>4.0999999999999996</v>
      </c>
      <c r="J124" s="30">
        <v>3.94</v>
      </c>
      <c r="K124" s="30">
        <v>3.9</v>
      </c>
      <c r="L124" s="30">
        <v>3.99</v>
      </c>
      <c r="M124" s="30">
        <v>4.17</v>
      </c>
      <c r="N124" s="30">
        <v>4.3899999999999997</v>
      </c>
      <c r="O124" s="30">
        <v>4.8899999999999997</v>
      </c>
      <c r="P124" s="30">
        <v>4.88</v>
      </c>
    </row>
    <row r="125" spans="2:16" x14ac:dyDescent="0.2">
      <c r="B125" s="29">
        <v>45826</v>
      </c>
      <c r="C125" s="30">
        <v>4.2</v>
      </c>
      <c r="D125" s="30">
        <v>4.3600000000000003</v>
      </c>
      <c r="E125" s="30">
        <v>4.58</v>
      </c>
      <c r="F125" s="30">
        <v>4.42</v>
      </c>
      <c r="G125" s="30">
        <v>4.41</v>
      </c>
      <c r="H125" s="30">
        <v>4.33</v>
      </c>
      <c r="I125" s="30">
        <v>4.0999999999999996</v>
      </c>
      <c r="J125" s="30">
        <v>3.94</v>
      </c>
      <c r="K125" s="30">
        <v>3.89</v>
      </c>
      <c r="L125" s="30">
        <v>3.98</v>
      </c>
      <c r="M125" s="30">
        <v>4.17</v>
      </c>
      <c r="N125" s="30">
        <v>4.38</v>
      </c>
      <c r="O125" s="30">
        <v>4.8899999999999997</v>
      </c>
      <c r="P125" s="30">
        <v>4.88</v>
      </c>
    </row>
    <row r="126" spans="2:16" x14ac:dyDescent="0.2">
      <c r="B126" s="29">
        <v>45828</v>
      </c>
      <c r="C126" s="30">
        <v>4.2</v>
      </c>
      <c r="D126" s="30">
        <v>4.38</v>
      </c>
      <c r="E126" s="30">
        <v>4.55</v>
      </c>
      <c r="F126" s="30">
        <v>4.3899999999999997</v>
      </c>
      <c r="G126" s="30">
        <v>4.4000000000000004</v>
      </c>
      <c r="H126" s="30">
        <v>4.29</v>
      </c>
      <c r="I126" s="30">
        <v>4.07</v>
      </c>
      <c r="J126" s="30">
        <v>3.9</v>
      </c>
      <c r="K126" s="30">
        <v>3.86</v>
      </c>
      <c r="L126" s="30">
        <v>3.96</v>
      </c>
      <c r="M126" s="30">
        <v>4.16</v>
      </c>
      <c r="N126" s="30">
        <v>4.38</v>
      </c>
      <c r="O126" s="30">
        <v>4.9000000000000004</v>
      </c>
      <c r="P126" s="30">
        <v>4.8899999999999997</v>
      </c>
    </row>
    <row r="127" spans="2:16" x14ac:dyDescent="0.2">
      <c r="B127" s="29">
        <v>45831</v>
      </c>
      <c r="C127" s="30">
        <v>4.2</v>
      </c>
      <c r="D127" s="30">
        <v>4.4000000000000004</v>
      </c>
      <c r="E127" s="30">
        <v>4.5199999999999996</v>
      </c>
      <c r="F127" s="30">
        <v>4.38</v>
      </c>
      <c r="G127" s="30">
        <v>4.37</v>
      </c>
      <c r="H127" s="30">
        <v>4.28</v>
      </c>
      <c r="I127" s="30">
        <v>4</v>
      </c>
      <c r="J127" s="30">
        <v>3.84</v>
      </c>
      <c r="K127" s="30">
        <v>3.8</v>
      </c>
      <c r="L127" s="30">
        <v>3.91</v>
      </c>
      <c r="M127" s="30">
        <v>4.0999999999999996</v>
      </c>
      <c r="N127" s="30">
        <v>4.34</v>
      </c>
      <c r="O127" s="30">
        <v>4.87</v>
      </c>
      <c r="P127" s="30">
        <v>4.87</v>
      </c>
    </row>
    <row r="128" spans="2:16" x14ac:dyDescent="0.2">
      <c r="B128" s="29">
        <v>45832</v>
      </c>
      <c r="C128" s="30">
        <v>4.21</v>
      </c>
      <c r="D128" s="30">
        <v>4.53</v>
      </c>
      <c r="E128" s="30">
        <v>4.4400000000000004</v>
      </c>
      <c r="F128" s="30">
        <v>4.38</v>
      </c>
      <c r="G128" s="30">
        <v>4.37</v>
      </c>
      <c r="H128" s="30">
        <v>4.2699999999999996</v>
      </c>
      <c r="I128" s="30">
        <v>3.99</v>
      </c>
      <c r="J128" s="30">
        <v>3.75</v>
      </c>
      <c r="K128" s="30">
        <v>3.75</v>
      </c>
      <c r="L128" s="30">
        <v>3.86</v>
      </c>
      <c r="M128" s="30">
        <v>4.0599999999999996</v>
      </c>
      <c r="N128" s="30">
        <v>4.3</v>
      </c>
      <c r="O128" s="30">
        <v>4.83</v>
      </c>
      <c r="P128" s="30">
        <v>4.83</v>
      </c>
    </row>
    <row r="129" spans="2:16" x14ac:dyDescent="0.2">
      <c r="B129" s="29">
        <v>45833</v>
      </c>
      <c r="C129" s="30">
        <v>4.21</v>
      </c>
      <c r="D129" s="30">
        <v>4.46</v>
      </c>
      <c r="E129" s="30">
        <v>4.43</v>
      </c>
      <c r="F129" s="30">
        <v>4.38</v>
      </c>
      <c r="G129" s="30">
        <v>4.3600000000000003</v>
      </c>
      <c r="H129" s="30">
        <v>4.26</v>
      </c>
      <c r="I129" s="30">
        <v>3.99</v>
      </c>
      <c r="J129" s="30">
        <v>3.74</v>
      </c>
      <c r="K129" s="30">
        <v>3.74</v>
      </c>
      <c r="L129" s="30">
        <v>3.83</v>
      </c>
      <c r="M129" s="30">
        <v>4.05</v>
      </c>
      <c r="N129" s="30">
        <v>4.29</v>
      </c>
      <c r="O129" s="30">
        <v>4.83</v>
      </c>
      <c r="P129" s="30">
        <v>4.83</v>
      </c>
    </row>
    <row r="130" spans="2:16" x14ac:dyDescent="0.2">
      <c r="B130" s="29">
        <v>45834</v>
      </c>
      <c r="C130" s="30">
        <v>4.1100000000000003</v>
      </c>
      <c r="D130" s="30">
        <v>4.47</v>
      </c>
      <c r="E130" s="30">
        <v>4.49</v>
      </c>
      <c r="F130" s="30">
        <v>4.3899999999999997</v>
      </c>
      <c r="G130" s="30">
        <v>4.3600000000000003</v>
      </c>
      <c r="H130" s="30">
        <v>4.26</v>
      </c>
      <c r="I130" s="30">
        <v>3.96</v>
      </c>
      <c r="J130" s="30">
        <v>3.7</v>
      </c>
      <c r="K130" s="30">
        <v>3.68</v>
      </c>
      <c r="L130" s="30">
        <v>3.79</v>
      </c>
      <c r="M130" s="30">
        <v>4</v>
      </c>
      <c r="N130" s="30">
        <v>4.26</v>
      </c>
      <c r="O130" s="30">
        <v>4.8099999999999996</v>
      </c>
      <c r="P130" s="30">
        <v>4.8099999999999996</v>
      </c>
    </row>
    <row r="131" spans="2:16" x14ac:dyDescent="0.2">
      <c r="B131" s="29">
        <v>45835</v>
      </c>
      <c r="C131" s="30">
        <v>4.1900000000000004</v>
      </c>
      <c r="D131" s="30">
        <v>4.43</v>
      </c>
      <c r="E131" s="30">
        <v>4.49</v>
      </c>
      <c r="F131" s="30">
        <v>4.3899999999999997</v>
      </c>
      <c r="G131" s="30">
        <v>4.3600000000000003</v>
      </c>
      <c r="H131" s="30">
        <v>4.26</v>
      </c>
      <c r="I131" s="30">
        <v>3.97</v>
      </c>
      <c r="J131" s="30">
        <v>3.73</v>
      </c>
      <c r="K131" s="30">
        <v>3.72</v>
      </c>
      <c r="L131" s="30">
        <v>3.83</v>
      </c>
      <c r="M131" s="30">
        <v>4.03</v>
      </c>
      <c r="N131" s="30">
        <v>4.29</v>
      </c>
      <c r="O131" s="30">
        <v>4.8499999999999996</v>
      </c>
      <c r="P131" s="30">
        <v>4.8499999999999996</v>
      </c>
    </row>
    <row r="132" spans="2:16" x14ac:dyDescent="0.2">
      <c r="B132" s="29">
        <v>45838</v>
      </c>
      <c r="C132" s="30">
        <v>4.28</v>
      </c>
      <c r="D132" s="30">
        <v>4.41</v>
      </c>
      <c r="E132" s="30">
        <v>4.45</v>
      </c>
      <c r="F132" s="30">
        <v>4.41</v>
      </c>
      <c r="G132" s="30">
        <v>4.3600000000000003</v>
      </c>
      <c r="H132" s="30">
        <v>4.29</v>
      </c>
      <c r="I132" s="30">
        <v>3.96</v>
      </c>
      <c r="J132" s="30">
        <v>3.72</v>
      </c>
      <c r="K132" s="30">
        <v>3.68</v>
      </c>
      <c r="L132" s="30">
        <v>3.79</v>
      </c>
      <c r="M132" s="30">
        <v>3.98</v>
      </c>
      <c r="N132" s="30">
        <v>4.24</v>
      </c>
      <c r="O132" s="30">
        <v>4.79</v>
      </c>
      <c r="P132" s="30">
        <v>4.78</v>
      </c>
    </row>
    <row r="133" spans="2:16" x14ac:dyDescent="0.2">
      <c r="B133" s="29">
        <v>45839</v>
      </c>
      <c r="C133" s="30">
        <v>4.32</v>
      </c>
      <c r="D133" s="30">
        <v>4.4400000000000004</v>
      </c>
      <c r="E133" s="30">
        <v>4.42</v>
      </c>
      <c r="F133" s="30">
        <v>4.4000000000000004</v>
      </c>
      <c r="G133" s="30">
        <v>4.3499999999999996</v>
      </c>
      <c r="H133" s="30">
        <v>4.29</v>
      </c>
      <c r="I133" s="30">
        <v>3.98</v>
      </c>
      <c r="J133" s="30">
        <v>3.78</v>
      </c>
      <c r="K133" s="30">
        <v>3.75</v>
      </c>
      <c r="L133" s="30">
        <v>3.84</v>
      </c>
      <c r="M133" s="30">
        <v>4.03</v>
      </c>
      <c r="N133" s="30">
        <v>4.26</v>
      </c>
      <c r="O133" s="30">
        <v>4.79</v>
      </c>
      <c r="P133" s="30">
        <v>4.78</v>
      </c>
    </row>
    <row r="134" spans="2:16" x14ac:dyDescent="0.2">
      <c r="B134" s="29">
        <v>45840</v>
      </c>
      <c r="C134" s="30">
        <v>4.33</v>
      </c>
      <c r="D134" s="30">
        <v>4.4400000000000004</v>
      </c>
      <c r="E134" s="30">
        <v>4.43</v>
      </c>
      <c r="F134" s="30">
        <v>4.41</v>
      </c>
      <c r="G134" s="30">
        <v>4.37</v>
      </c>
      <c r="H134" s="30">
        <v>4.28</v>
      </c>
      <c r="I134" s="30">
        <v>3.99</v>
      </c>
      <c r="J134" s="30">
        <v>3.78</v>
      </c>
      <c r="K134" s="30">
        <v>3.77</v>
      </c>
      <c r="L134" s="30">
        <v>3.87</v>
      </c>
      <c r="M134" s="30">
        <v>4.0599999999999996</v>
      </c>
      <c r="N134" s="30">
        <v>4.3</v>
      </c>
      <c r="O134" s="30">
        <v>4.84</v>
      </c>
      <c r="P134" s="30">
        <v>4.82</v>
      </c>
    </row>
    <row r="135" spans="2:16" x14ac:dyDescent="0.2">
      <c r="B135" s="29">
        <v>45841</v>
      </c>
      <c r="C135" s="30">
        <v>4.3499999999999996</v>
      </c>
      <c r="D135" s="30">
        <v>4.43</v>
      </c>
      <c r="E135" s="30">
        <v>4.5</v>
      </c>
      <c r="F135" s="30">
        <v>4.42</v>
      </c>
      <c r="G135" s="30">
        <v>4.41</v>
      </c>
      <c r="H135" s="30">
        <v>4.34</v>
      </c>
      <c r="I135" s="30">
        <v>4.07</v>
      </c>
      <c r="J135" s="30">
        <v>3.88</v>
      </c>
      <c r="K135" s="30">
        <v>3.84</v>
      </c>
      <c r="L135" s="30">
        <v>3.94</v>
      </c>
      <c r="M135" s="30">
        <v>4.12</v>
      </c>
      <c r="N135" s="30">
        <v>4.3499999999999996</v>
      </c>
      <c r="O135" s="30">
        <v>4.87</v>
      </c>
      <c r="P135" s="30">
        <v>4.8600000000000003</v>
      </c>
    </row>
    <row r="136" spans="2:16" x14ac:dyDescent="0.2">
      <c r="B136" s="29">
        <v>45845</v>
      </c>
      <c r="C136" s="30">
        <v>4.37</v>
      </c>
      <c r="D136" s="30">
        <v>4.43</v>
      </c>
      <c r="E136" s="30">
        <v>4.45</v>
      </c>
      <c r="F136" s="30">
        <v>4.42</v>
      </c>
      <c r="G136" s="30">
        <v>4.41</v>
      </c>
      <c r="H136" s="30">
        <v>4.33</v>
      </c>
      <c r="I136" s="30">
        <v>4.08</v>
      </c>
      <c r="J136" s="30">
        <v>3.9</v>
      </c>
      <c r="K136" s="30">
        <v>3.85</v>
      </c>
      <c r="L136" s="30">
        <v>3.96</v>
      </c>
      <c r="M136" s="30">
        <v>4.16</v>
      </c>
      <c r="N136" s="30">
        <v>4.4000000000000004</v>
      </c>
      <c r="O136" s="30">
        <v>4.93</v>
      </c>
      <c r="P136" s="30">
        <v>4.92</v>
      </c>
    </row>
    <row r="137" spans="2:16" x14ac:dyDescent="0.2">
      <c r="B137" s="29">
        <v>45846</v>
      </c>
      <c r="C137" s="30">
        <v>4.3600000000000003</v>
      </c>
      <c r="D137" s="30">
        <v>4.41</v>
      </c>
      <c r="E137" s="30">
        <v>4.46</v>
      </c>
      <c r="F137" s="30">
        <v>4.42</v>
      </c>
      <c r="G137" s="30">
        <v>4.42</v>
      </c>
      <c r="H137" s="30">
        <v>4.34</v>
      </c>
      <c r="I137" s="30">
        <v>4.1100000000000003</v>
      </c>
      <c r="J137" s="30">
        <v>3.9</v>
      </c>
      <c r="K137" s="30">
        <v>3.86</v>
      </c>
      <c r="L137" s="30">
        <v>3.99</v>
      </c>
      <c r="M137" s="30">
        <v>4.18</v>
      </c>
      <c r="N137" s="30">
        <v>4.42</v>
      </c>
      <c r="O137" s="30">
        <v>4.95</v>
      </c>
      <c r="P137" s="30">
        <v>4.9400000000000004</v>
      </c>
    </row>
    <row r="138" spans="2:16" x14ac:dyDescent="0.2">
      <c r="B138" s="29">
        <v>45847</v>
      </c>
      <c r="C138" s="30">
        <v>4.3600000000000003</v>
      </c>
      <c r="D138" s="30">
        <v>4.4000000000000004</v>
      </c>
      <c r="E138" s="30">
        <v>4.45</v>
      </c>
      <c r="F138" s="30">
        <v>4.42</v>
      </c>
      <c r="G138" s="30">
        <v>4.42</v>
      </c>
      <c r="H138" s="30">
        <v>4.3099999999999996</v>
      </c>
      <c r="I138" s="30">
        <v>4.07</v>
      </c>
      <c r="J138" s="30">
        <v>3.86</v>
      </c>
      <c r="K138" s="30">
        <v>3.8</v>
      </c>
      <c r="L138" s="30">
        <v>3.92</v>
      </c>
      <c r="M138" s="30">
        <v>4.1100000000000003</v>
      </c>
      <c r="N138" s="30">
        <v>4.34</v>
      </c>
      <c r="O138" s="30">
        <v>4.87</v>
      </c>
      <c r="P138" s="30">
        <v>4.87</v>
      </c>
    </row>
    <row r="139" spans="2:16" x14ac:dyDescent="0.2">
      <c r="B139" s="29">
        <v>45848</v>
      </c>
      <c r="C139" s="30">
        <v>4.3600000000000003</v>
      </c>
      <c r="D139" s="30">
        <v>4.3899999999999997</v>
      </c>
      <c r="E139" s="30">
        <v>4.47</v>
      </c>
      <c r="F139" s="30">
        <v>4.42</v>
      </c>
      <c r="G139" s="30">
        <v>4.42</v>
      </c>
      <c r="H139" s="30">
        <v>4.3099999999999996</v>
      </c>
      <c r="I139" s="30">
        <v>4.07</v>
      </c>
      <c r="J139" s="30">
        <v>3.86</v>
      </c>
      <c r="K139" s="30">
        <v>3.82</v>
      </c>
      <c r="L139" s="30">
        <v>3.93</v>
      </c>
      <c r="M139" s="30">
        <v>4.12</v>
      </c>
      <c r="N139" s="30">
        <v>4.3499999999999996</v>
      </c>
      <c r="O139" s="30">
        <v>4.87</v>
      </c>
      <c r="P139" s="30">
        <v>4.8600000000000003</v>
      </c>
    </row>
    <row r="140" spans="2:16" x14ac:dyDescent="0.2">
      <c r="B140" s="29">
        <v>45849</v>
      </c>
      <c r="C140" s="30">
        <v>4.37</v>
      </c>
      <c r="D140" s="30">
        <v>4.3899999999999997</v>
      </c>
      <c r="E140" s="30">
        <v>4.47</v>
      </c>
      <c r="F140" s="30">
        <v>4.41</v>
      </c>
      <c r="G140" s="30">
        <v>4.42</v>
      </c>
      <c r="H140" s="30">
        <v>4.3099999999999996</v>
      </c>
      <c r="I140" s="30">
        <v>4.09</v>
      </c>
      <c r="J140" s="30">
        <v>3.9</v>
      </c>
      <c r="K140" s="30">
        <v>3.86</v>
      </c>
      <c r="L140" s="30">
        <v>3.99</v>
      </c>
      <c r="M140" s="30">
        <v>4.1900000000000004</v>
      </c>
      <c r="N140" s="30">
        <v>4.43</v>
      </c>
      <c r="O140" s="30">
        <v>4.96</v>
      </c>
      <c r="P140" s="30">
        <v>4.96</v>
      </c>
    </row>
    <row r="141" spans="2:16" x14ac:dyDescent="0.2">
      <c r="B141" s="29">
        <v>45852</v>
      </c>
      <c r="C141" s="30">
        <v>4.37</v>
      </c>
      <c r="D141" s="30">
        <v>4.41</v>
      </c>
      <c r="E141" s="30">
        <v>4.46</v>
      </c>
      <c r="F141" s="30">
        <v>4.42</v>
      </c>
      <c r="G141" s="30">
        <v>4.42</v>
      </c>
      <c r="H141" s="30">
        <v>4.3099999999999996</v>
      </c>
      <c r="I141" s="30">
        <v>4.08</v>
      </c>
      <c r="J141" s="30">
        <v>3.9</v>
      </c>
      <c r="K141" s="30">
        <v>3.86</v>
      </c>
      <c r="L141" s="30">
        <v>3.98</v>
      </c>
      <c r="M141" s="30">
        <v>4.1900000000000004</v>
      </c>
      <c r="N141" s="30">
        <v>4.43</v>
      </c>
      <c r="O141" s="30">
        <v>4.97</v>
      </c>
      <c r="P141" s="30">
        <v>4.97</v>
      </c>
    </row>
    <row r="142" spans="2:16" x14ac:dyDescent="0.2">
      <c r="B142" s="29">
        <v>45853</v>
      </c>
      <c r="C142" s="30">
        <v>4.3600000000000003</v>
      </c>
      <c r="D142" s="30">
        <v>4.4000000000000004</v>
      </c>
      <c r="E142" s="30">
        <v>4.46</v>
      </c>
      <c r="F142" s="30">
        <v>4.42</v>
      </c>
      <c r="G142" s="30">
        <v>4.43</v>
      </c>
      <c r="H142" s="30">
        <v>4.33</v>
      </c>
      <c r="I142" s="30">
        <v>4.12</v>
      </c>
      <c r="J142" s="30">
        <v>3.95</v>
      </c>
      <c r="K142" s="30">
        <v>3.93</v>
      </c>
      <c r="L142" s="30">
        <v>4.05</v>
      </c>
      <c r="M142" s="30">
        <v>4.26</v>
      </c>
      <c r="N142" s="30">
        <v>4.5</v>
      </c>
      <c r="O142" s="30">
        <v>5.0199999999999996</v>
      </c>
      <c r="P142" s="30">
        <v>5.01</v>
      </c>
    </row>
    <row r="143" spans="2:16" x14ac:dyDescent="0.2">
      <c r="B143" s="29">
        <v>45854</v>
      </c>
      <c r="C143" s="30">
        <v>4.3600000000000003</v>
      </c>
      <c r="D143" s="30">
        <v>4.4000000000000004</v>
      </c>
      <c r="E143" s="30">
        <v>4.45</v>
      </c>
      <c r="F143" s="30">
        <v>4.41</v>
      </c>
      <c r="G143" s="30">
        <v>4.42</v>
      </c>
      <c r="H143" s="30">
        <v>4.3099999999999996</v>
      </c>
      <c r="I143" s="30">
        <v>4.08</v>
      </c>
      <c r="J143" s="30">
        <v>3.88</v>
      </c>
      <c r="K143" s="30">
        <v>3.86</v>
      </c>
      <c r="L143" s="30">
        <v>3.99</v>
      </c>
      <c r="M143" s="30">
        <v>4.21</v>
      </c>
      <c r="N143" s="30">
        <v>4.46</v>
      </c>
      <c r="O143" s="30">
        <v>5.01</v>
      </c>
      <c r="P143" s="30">
        <v>5.01</v>
      </c>
    </row>
    <row r="144" spans="2:16" x14ac:dyDescent="0.2">
      <c r="B144" s="29">
        <v>45855</v>
      </c>
      <c r="C144" s="30">
        <v>4.3600000000000003</v>
      </c>
      <c r="D144" s="30">
        <v>4.3899999999999997</v>
      </c>
      <c r="E144" s="30">
        <v>4.47</v>
      </c>
      <c r="F144" s="30">
        <v>4.41</v>
      </c>
      <c r="G144" s="30">
        <v>4.42</v>
      </c>
      <c r="H144" s="30">
        <v>4.3099999999999996</v>
      </c>
      <c r="I144" s="30">
        <v>4.0999999999999996</v>
      </c>
      <c r="J144" s="30">
        <v>3.91</v>
      </c>
      <c r="K144" s="30">
        <v>3.89</v>
      </c>
      <c r="L144" s="30">
        <v>4.01</v>
      </c>
      <c r="M144" s="30">
        <v>4.22</v>
      </c>
      <c r="N144" s="30">
        <v>4.47</v>
      </c>
      <c r="O144" s="30">
        <v>5.01</v>
      </c>
      <c r="P144" s="30">
        <v>5.01</v>
      </c>
    </row>
    <row r="145" spans="2:16" x14ac:dyDescent="0.2">
      <c r="B145" s="29">
        <v>45856</v>
      </c>
      <c r="C145" s="30">
        <v>4.3499999999999996</v>
      </c>
      <c r="D145" s="30">
        <v>4.3899999999999997</v>
      </c>
      <c r="E145" s="30">
        <v>4.46</v>
      </c>
      <c r="F145" s="30">
        <v>4.4000000000000004</v>
      </c>
      <c r="G145" s="30">
        <v>4.42</v>
      </c>
      <c r="H145" s="30">
        <v>4.3</v>
      </c>
      <c r="I145" s="30">
        <v>4.08</v>
      </c>
      <c r="J145" s="30">
        <v>3.88</v>
      </c>
      <c r="K145" s="30">
        <v>3.84</v>
      </c>
      <c r="L145" s="30">
        <v>3.96</v>
      </c>
      <c r="M145" s="30">
        <v>4.18</v>
      </c>
      <c r="N145" s="30">
        <v>4.4400000000000004</v>
      </c>
      <c r="O145" s="30">
        <v>4.99</v>
      </c>
      <c r="P145" s="30">
        <v>5</v>
      </c>
    </row>
    <row r="146" spans="2:16" x14ac:dyDescent="0.2">
      <c r="B146" s="29">
        <v>45859</v>
      </c>
      <c r="C146" s="30">
        <v>4.3499999999999996</v>
      </c>
      <c r="D146" s="30">
        <v>4.41</v>
      </c>
      <c r="E146" s="30">
        <v>4.46</v>
      </c>
      <c r="F146" s="30">
        <v>4.41</v>
      </c>
      <c r="G146" s="30">
        <v>4.42</v>
      </c>
      <c r="H146" s="30">
        <v>4.3</v>
      </c>
      <c r="I146" s="30">
        <v>4.0599999999999996</v>
      </c>
      <c r="J146" s="30">
        <v>3.85</v>
      </c>
      <c r="K146" s="30">
        <v>3.81</v>
      </c>
      <c r="L146" s="30">
        <v>3.91</v>
      </c>
      <c r="M146" s="30">
        <v>4.13</v>
      </c>
      <c r="N146" s="30">
        <v>4.38</v>
      </c>
      <c r="O146" s="30">
        <v>4.93</v>
      </c>
      <c r="P146" s="30">
        <v>4.9400000000000004</v>
      </c>
    </row>
    <row r="147" spans="2:16" x14ac:dyDescent="0.2">
      <c r="B147" s="29">
        <v>45860</v>
      </c>
      <c r="C147" s="30">
        <v>4.37</v>
      </c>
      <c r="D147" s="30">
        <v>4.46</v>
      </c>
      <c r="E147" s="30">
        <v>4.45</v>
      </c>
      <c r="F147" s="30">
        <v>4.41</v>
      </c>
      <c r="G147" s="30">
        <v>4.42</v>
      </c>
      <c r="H147" s="30">
        <v>4.3</v>
      </c>
      <c r="I147" s="30">
        <v>4.05</v>
      </c>
      <c r="J147" s="30">
        <v>3.83</v>
      </c>
      <c r="K147" s="30">
        <v>3.77</v>
      </c>
      <c r="L147" s="30">
        <v>3.88</v>
      </c>
      <c r="M147" s="30">
        <v>4.09</v>
      </c>
      <c r="N147" s="30">
        <v>4.3499999999999996</v>
      </c>
      <c r="O147" s="30">
        <v>4.9000000000000004</v>
      </c>
      <c r="P147" s="30">
        <v>4.9000000000000004</v>
      </c>
    </row>
    <row r="148" spans="2:16" x14ac:dyDescent="0.2">
      <c r="B148" s="29">
        <v>45861</v>
      </c>
      <c r="C148" s="30">
        <v>4.37</v>
      </c>
      <c r="D148" s="30">
        <v>4.46</v>
      </c>
      <c r="E148" s="30">
        <v>4.45</v>
      </c>
      <c r="F148" s="30">
        <v>4.41</v>
      </c>
      <c r="G148" s="30">
        <v>4.42</v>
      </c>
      <c r="H148" s="30">
        <v>4.3099999999999996</v>
      </c>
      <c r="I148" s="30">
        <v>4.08</v>
      </c>
      <c r="J148" s="30">
        <v>3.88</v>
      </c>
      <c r="K148" s="30">
        <v>3.84</v>
      </c>
      <c r="L148" s="30">
        <v>3.94</v>
      </c>
      <c r="M148" s="30">
        <v>4.1500000000000004</v>
      </c>
      <c r="N148" s="30">
        <v>4.4000000000000004</v>
      </c>
      <c r="O148" s="30">
        <v>4.93</v>
      </c>
      <c r="P148" s="30">
        <v>4.95</v>
      </c>
    </row>
    <row r="149" spans="2:16" x14ac:dyDescent="0.2">
      <c r="B149" s="29">
        <v>45862</v>
      </c>
      <c r="C149" s="30">
        <v>4.37</v>
      </c>
      <c r="D149" s="30">
        <v>4.47</v>
      </c>
      <c r="E149" s="30">
        <v>4.46</v>
      </c>
      <c r="F149" s="30">
        <v>4.42</v>
      </c>
      <c r="G149" s="30">
        <v>4.42</v>
      </c>
      <c r="H149" s="30">
        <v>4.32</v>
      </c>
      <c r="I149" s="30">
        <v>4.0999999999999996</v>
      </c>
      <c r="J149" s="30">
        <v>3.91</v>
      </c>
      <c r="K149" s="30">
        <v>3.87</v>
      </c>
      <c r="L149" s="30">
        <v>3.98</v>
      </c>
      <c r="M149" s="30">
        <v>4.18</v>
      </c>
      <c r="N149" s="30">
        <v>4.43</v>
      </c>
      <c r="O149" s="30">
        <v>4.95</v>
      </c>
      <c r="P149" s="30">
        <v>4.96</v>
      </c>
    </row>
    <row r="150" spans="2:16" x14ac:dyDescent="0.2">
      <c r="B150" s="29">
        <v>45863</v>
      </c>
      <c r="C150" s="30">
        <v>4.37</v>
      </c>
      <c r="D150" s="30">
        <v>4.46</v>
      </c>
      <c r="E150" s="30">
        <v>4.46</v>
      </c>
      <c r="F150" s="30">
        <v>4.42</v>
      </c>
      <c r="G150" s="30">
        <v>4.42</v>
      </c>
      <c r="H150" s="30">
        <v>4.3099999999999996</v>
      </c>
      <c r="I150" s="30">
        <v>4.09</v>
      </c>
      <c r="J150" s="30">
        <v>3.91</v>
      </c>
      <c r="K150" s="30">
        <v>3.86</v>
      </c>
      <c r="L150" s="30">
        <v>3.95</v>
      </c>
      <c r="M150" s="30">
        <v>4.1500000000000004</v>
      </c>
      <c r="N150" s="30">
        <v>4.4000000000000004</v>
      </c>
      <c r="O150" s="30">
        <v>4.92</v>
      </c>
      <c r="P150" s="30">
        <v>4.92</v>
      </c>
    </row>
    <row r="151" spans="2:16" x14ac:dyDescent="0.2">
      <c r="B151" s="29">
        <v>45866</v>
      </c>
      <c r="C151" s="30">
        <v>4.4000000000000004</v>
      </c>
      <c r="D151" s="30">
        <v>4.47</v>
      </c>
      <c r="E151" s="30">
        <v>4.45</v>
      </c>
      <c r="F151" s="30">
        <v>4.4000000000000004</v>
      </c>
      <c r="G151" s="30">
        <v>4.42</v>
      </c>
      <c r="H151" s="30">
        <v>4.3</v>
      </c>
      <c r="I151" s="30">
        <v>4.09</v>
      </c>
      <c r="J151" s="30">
        <v>3.91</v>
      </c>
      <c r="K151" s="30">
        <v>3.87</v>
      </c>
      <c r="L151" s="30">
        <v>3.96</v>
      </c>
      <c r="M151" s="30">
        <v>4.18</v>
      </c>
      <c r="N151" s="30">
        <v>4.42</v>
      </c>
      <c r="O151" s="30">
        <v>4.95</v>
      </c>
      <c r="P151" s="30">
        <v>4.96</v>
      </c>
    </row>
    <row r="152" spans="2:16" x14ac:dyDescent="0.2">
      <c r="B152" s="29">
        <v>45867</v>
      </c>
      <c r="C152" s="30">
        <v>4.4000000000000004</v>
      </c>
      <c r="D152" s="30">
        <v>4.47</v>
      </c>
      <c r="E152" s="30">
        <v>4.45</v>
      </c>
      <c r="F152" s="30">
        <v>4.4000000000000004</v>
      </c>
      <c r="G152" s="30">
        <v>4.41</v>
      </c>
      <c r="H152" s="30">
        <v>4.28</v>
      </c>
      <c r="I152" s="30">
        <v>4.07</v>
      </c>
      <c r="J152" s="30">
        <v>3.86</v>
      </c>
      <c r="K152" s="30">
        <v>3.82</v>
      </c>
      <c r="L152" s="30">
        <v>3.9</v>
      </c>
      <c r="M152" s="30">
        <v>4.0999999999999996</v>
      </c>
      <c r="N152" s="30">
        <v>4.34</v>
      </c>
      <c r="O152" s="30">
        <v>4.8600000000000003</v>
      </c>
      <c r="P152" s="30">
        <v>4.8600000000000003</v>
      </c>
    </row>
    <row r="153" spans="2:16" x14ac:dyDescent="0.2">
      <c r="B153" s="29">
        <v>45868</v>
      </c>
      <c r="C153" s="30">
        <v>4.41</v>
      </c>
      <c r="D153" s="30">
        <v>4.4800000000000004</v>
      </c>
      <c r="E153" s="30">
        <v>4.45</v>
      </c>
      <c r="F153" s="30">
        <v>4.41</v>
      </c>
      <c r="G153" s="30">
        <v>4.3899999999999997</v>
      </c>
      <c r="H153" s="30">
        <v>4.3099999999999996</v>
      </c>
      <c r="I153" s="30">
        <v>4.12</v>
      </c>
      <c r="J153" s="30">
        <v>3.94</v>
      </c>
      <c r="K153" s="30">
        <v>3.89</v>
      </c>
      <c r="L153" s="30">
        <v>3.96</v>
      </c>
      <c r="M153" s="30">
        <v>4.1500000000000004</v>
      </c>
      <c r="N153" s="30">
        <v>4.38</v>
      </c>
      <c r="O153" s="30">
        <v>4.9000000000000004</v>
      </c>
      <c r="P153" s="30">
        <v>4.8899999999999997</v>
      </c>
    </row>
    <row r="154" spans="2:16" x14ac:dyDescent="0.2">
      <c r="B154" s="29">
        <v>45869</v>
      </c>
      <c r="C154" s="30">
        <v>4.49</v>
      </c>
      <c r="D154" s="30">
        <v>4.47</v>
      </c>
      <c r="E154" s="30">
        <v>4.46</v>
      </c>
      <c r="F154" s="30">
        <v>4.41</v>
      </c>
      <c r="G154" s="30">
        <v>4.4000000000000004</v>
      </c>
      <c r="H154" s="30">
        <v>4.3099999999999996</v>
      </c>
      <c r="I154" s="30">
        <v>4.0999999999999996</v>
      </c>
      <c r="J154" s="30">
        <v>3.94</v>
      </c>
      <c r="K154" s="30">
        <v>3.89</v>
      </c>
      <c r="L154" s="30">
        <v>3.96</v>
      </c>
      <c r="M154" s="30">
        <v>4.1399999999999997</v>
      </c>
      <c r="N154" s="30">
        <v>4.37</v>
      </c>
      <c r="O154" s="30">
        <v>4.8899999999999997</v>
      </c>
      <c r="P154" s="30">
        <v>4.8899999999999997</v>
      </c>
    </row>
    <row r="155" spans="2:16" x14ac:dyDescent="0.2">
      <c r="B155" s="29">
        <v>45870</v>
      </c>
      <c r="C155" s="30">
        <v>4.49</v>
      </c>
      <c r="D155" s="30">
        <v>4.46</v>
      </c>
      <c r="E155" s="30">
        <v>4.4400000000000004</v>
      </c>
      <c r="F155" s="30">
        <v>4.3499999999999996</v>
      </c>
      <c r="G155" s="30">
        <v>4.3</v>
      </c>
      <c r="H155" s="30">
        <v>4.16</v>
      </c>
      <c r="I155" s="30">
        <v>3.87</v>
      </c>
      <c r="J155" s="30">
        <v>3.69</v>
      </c>
      <c r="K155" s="30">
        <v>3.67</v>
      </c>
      <c r="L155" s="30">
        <v>3.77</v>
      </c>
      <c r="M155" s="30">
        <v>3.97</v>
      </c>
      <c r="N155" s="30">
        <v>4.2300000000000004</v>
      </c>
      <c r="O155" s="30">
        <v>4.79</v>
      </c>
      <c r="P155" s="30">
        <v>4.8099999999999996</v>
      </c>
    </row>
    <row r="156" spans="2:16" x14ac:dyDescent="0.2">
      <c r="B156" s="29">
        <v>45873</v>
      </c>
      <c r="C156" s="30">
        <v>4.4800000000000004</v>
      </c>
      <c r="D156" s="30">
        <v>4.46</v>
      </c>
      <c r="E156" s="30">
        <v>4.43</v>
      </c>
      <c r="F156" s="30">
        <v>4.3499999999999996</v>
      </c>
      <c r="G156" s="30">
        <v>4.28</v>
      </c>
      <c r="H156" s="30">
        <v>4.1500000000000004</v>
      </c>
      <c r="I156" s="30">
        <v>3.82</v>
      </c>
      <c r="J156" s="30">
        <v>3.69</v>
      </c>
      <c r="K156" s="30">
        <v>3.66</v>
      </c>
      <c r="L156" s="30">
        <v>3.75</v>
      </c>
      <c r="M156" s="30">
        <v>3.95</v>
      </c>
      <c r="N156" s="30">
        <v>4.22</v>
      </c>
      <c r="O156" s="30">
        <v>4.78</v>
      </c>
      <c r="P156" s="30">
        <v>4.8</v>
      </c>
    </row>
    <row r="157" spans="2:16" x14ac:dyDescent="0.2">
      <c r="B157" s="29">
        <v>45874</v>
      </c>
      <c r="C157" s="30">
        <v>4.49</v>
      </c>
      <c r="D157" s="30">
        <v>4.4800000000000004</v>
      </c>
      <c r="E157" s="30">
        <v>4.41</v>
      </c>
      <c r="F157" s="30">
        <v>4.34</v>
      </c>
      <c r="G157" s="30">
        <v>4.29</v>
      </c>
      <c r="H157" s="30">
        <v>4.16</v>
      </c>
      <c r="I157" s="30">
        <v>3.92</v>
      </c>
      <c r="J157" s="30">
        <v>3.72</v>
      </c>
      <c r="K157" s="30">
        <v>3.63</v>
      </c>
      <c r="L157" s="30">
        <v>3.77</v>
      </c>
      <c r="M157" s="30">
        <v>3.97</v>
      </c>
      <c r="N157" s="30">
        <v>4.22</v>
      </c>
      <c r="O157" s="30">
        <v>4.7699999999999996</v>
      </c>
      <c r="P157" s="30">
        <v>4.78</v>
      </c>
    </row>
    <row r="158" spans="2:16" x14ac:dyDescent="0.2">
      <c r="B158" s="29">
        <v>45875</v>
      </c>
      <c r="C158" s="30">
        <v>4.4800000000000004</v>
      </c>
      <c r="D158" s="30">
        <v>4.47</v>
      </c>
      <c r="E158" s="30">
        <v>4.4000000000000004</v>
      </c>
      <c r="F158" s="30">
        <v>4.32</v>
      </c>
      <c r="G158" s="30">
        <v>4.2699999999999996</v>
      </c>
      <c r="H158" s="30">
        <v>4.1500000000000004</v>
      </c>
      <c r="I158" s="30">
        <v>3.9</v>
      </c>
      <c r="J158" s="30">
        <v>3.69</v>
      </c>
      <c r="K158" s="30">
        <v>3.63</v>
      </c>
      <c r="L158" s="30">
        <v>3.77</v>
      </c>
      <c r="M158" s="30">
        <v>3.97</v>
      </c>
      <c r="N158" s="30">
        <v>4.22</v>
      </c>
      <c r="O158" s="30">
        <v>4.8</v>
      </c>
      <c r="P158" s="30">
        <v>4.8099999999999996</v>
      </c>
    </row>
    <row r="159" spans="2:16" x14ac:dyDescent="0.2">
      <c r="B159" s="29">
        <v>45876</v>
      </c>
      <c r="C159" s="30">
        <v>4.49</v>
      </c>
      <c r="D159" s="30">
        <v>4.46</v>
      </c>
      <c r="E159" s="30">
        <v>4.41</v>
      </c>
      <c r="F159" s="30">
        <v>4.32</v>
      </c>
      <c r="G159" s="30">
        <v>4.2699999999999996</v>
      </c>
      <c r="H159" s="30">
        <v>4.1500000000000004</v>
      </c>
      <c r="I159" s="30">
        <v>3.92</v>
      </c>
      <c r="J159" s="30">
        <v>3.72</v>
      </c>
      <c r="K159" s="30">
        <v>3.66</v>
      </c>
      <c r="L159" s="30">
        <v>3.79</v>
      </c>
      <c r="M159" s="30">
        <v>3.99</v>
      </c>
      <c r="N159" s="30">
        <v>4.2300000000000004</v>
      </c>
      <c r="O159" s="30">
        <v>4.8099999999999996</v>
      </c>
      <c r="P159" s="30">
        <v>4.8099999999999996</v>
      </c>
    </row>
    <row r="160" spans="2:16" x14ac:dyDescent="0.2">
      <c r="B160" s="29">
        <v>45877</v>
      </c>
      <c r="C160" s="30">
        <v>4.4800000000000004</v>
      </c>
      <c r="D160" s="30">
        <v>4.43</v>
      </c>
      <c r="E160" s="30">
        <v>4.3899999999999997</v>
      </c>
      <c r="F160" s="30">
        <v>4.32</v>
      </c>
      <c r="G160" s="30">
        <v>4.2699999999999996</v>
      </c>
      <c r="H160" s="30">
        <v>4.1500000000000004</v>
      </c>
      <c r="I160" s="30">
        <v>3.93</v>
      </c>
      <c r="J160" s="30">
        <v>3.76</v>
      </c>
      <c r="K160" s="30">
        <v>3.7</v>
      </c>
      <c r="L160" s="30">
        <v>3.84</v>
      </c>
      <c r="M160" s="30">
        <v>4.03</v>
      </c>
      <c r="N160" s="30">
        <v>4.2699999999999996</v>
      </c>
      <c r="O160" s="30">
        <v>4.84</v>
      </c>
      <c r="P160" s="30">
        <v>4.8499999999999996</v>
      </c>
    </row>
    <row r="161" spans="2:16" x14ac:dyDescent="0.2">
      <c r="B161" s="29">
        <v>45880</v>
      </c>
      <c r="C161" s="30">
        <v>4.46</v>
      </c>
      <c r="D161" s="30">
        <v>4.41</v>
      </c>
      <c r="E161" s="30">
        <v>4.38</v>
      </c>
      <c r="F161" s="30">
        <v>4.34</v>
      </c>
      <c r="G161" s="30">
        <v>4.2699999999999996</v>
      </c>
      <c r="H161" s="30">
        <v>4.1500000000000004</v>
      </c>
      <c r="I161" s="30">
        <v>3.93</v>
      </c>
      <c r="J161" s="30">
        <v>3.76</v>
      </c>
      <c r="K161" s="30">
        <v>3.71</v>
      </c>
      <c r="L161" s="30">
        <v>3.83</v>
      </c>
      <c r="M161" s="30">
        <v>4.03</v>
      </c>
      <c r="N161" s="30">
        <v>4.2699999999999996</v>
      </c>
      <c r="O161" s="30">
        <v>4.83</v>
      </c>
      <c r="P161" s="30">
        <v>4.84</v>
      </c>
    </row>
    <row r="162" spans="2:16" x14ac:dyDescent="0.2">
      <c r="B162" s="29">
        <v>45881</v>
      </c>
      <c r="C162" s="30">
        <v>4.4400000000000004</v>
      </c>
      <c r="D162" s="30">
        <v>4.4400000000000004</v>
      </c>
      <c r="E162" s="30">
        <v>4.3499999999999996</v>
      </c>
      <c r="F162" s="30">
        <v>4.33</v>
      </c>
      <c r="G162" s="30">
        <v>4.25</v>
      </c>
      <c r="H162" s="30">
        <v>4.12</v>
      </c>
      <c r="I162" s="30">
        <v>3.9</v>
      </c>
      <c r="J162" s="30">
        <v>3.72</v>
      </c>
      <c r="K162" s="30">
        <v>3.69</v>
      </c>
      <c r="L162" s="30">
        <v>3.83</v>
      </c>
      <c r="M162" s="30">
        <v>4.03</v>
      </c>
      <c r="N162" s="30">
        <v>4.29</v>
      </c>
      <c r="O162" s="30">
        <v>4.87</v>
      </c>
      <c r="P162" s="30">
        <v>4.88</v>
      </c>
    </row>
    <row r="163" spans="2:16" x14ac:dyDescent="0.2">
      <c r="B163" s="29">
        <v>45882</v>
      </c>
      <c r="C163" s="30">
        <v>4.4400000000000004</v>
      </c>
      <c r="D163" s="30">
        <v>4.42</v>
      </c>
      <c r="E163" s="30">
        <v>4.32</v>
      </c>
      <c r="F163" s="30">
        <v>4.29</v>
      </c>
      <c r="G163" s="30">
        <v>4.21</v>
      </c>
      <c r="H163" s="30">
        <v>4.09</v>
      </c>
      <c r="I163" s="30">
        <v>3.86</v>
      </c>
      <c r="J163" s="30">
        <v>3.67</v>
      </c>
      <c r="K163" s="30">
        <v>3.64</v>
      </c>
      <c r="L163" s="30">
        <v>3.77</v>
      </c>
      <c r="M163" s="30">
        <v>3.98</v>
      </c>
      <c r="N163" s="30">
        <v>4.24</v>
      </c>
      <c r="O163" s="30">
        <v>4.8099999999999996</v>
      </c>
      <c r="P163" s="30">
        <v>4.83</v>
      </c>
    </row>
    <row r="164" spans="2:16" x14ac:dyDescent="0.2">
      <c r="B164" s="29">
        <v>45883</v>
      </c>
      <c r="C164" s="30">
        <v>4.4800000000000004</v>
      </c>
      <c r="D164" s="30">
        <v>4.43</v>
      </c>
      <c r="E164" s="30">
        <v>4.3600000000000003</v>
      </c>
      <c r="F164" s="30">
        <v>4.3</v>
      </c>
      <c r="G164" s="30">
        <v>4.22</v>
      </c>
      <c r="H164" s="30">
        <v>4.12</v>
      </c>
      <c r="I164" s="30">
        <v>3.91</v>
      </c>
      <c r="J164" s="30">
        <v>3.74</v>
      </c>
      <c r="K164" s="30">
        <v>3.7</v>
      </c>
      <c r="L164" s="30">
        <v>3.82</v>
      </c>
      <c r="M164" s="30">
        <v>4.03</v>
      </c>
      <c r="N164" s="30">
        <v>4.29</v>
      </c>
      <c r="O164" s="30">
        <v>4.8600000000000003</v>
      </c>
      <c r="P164" s="30">
        <v>4.88</v>
      </c>
    </row>
    <row r="165" spans="2:16" x14ac:dyDescent="0.2">
      <c r="B165" s="29">
        <v>45884</v>
      </c>
      <c r="C165" s="30">
        <v>4.4800000000000004</v>
      </c>
      <c r="D165" s="30">
        <v>4.42</v>
      </c>
      <c r="E165" s="30">
        <v>4.3499999999999996</v>
      </c>
      <c r="F165" s="30">
        <v>4.3</v>
      </c>
      <c r="G165" s="30">
        <v>4.22</v>
      </c>
      <c r="H165" s="30">
        <v>4.12</v>
      </c>
      <c r="I165" s="30">
        <v>3.93</v>
      </c>
      <c r="J165" s="30">
        <v>3.75</v>
      </c>
      <c r="K165" s="30">
        <v>3.73</v>
      </c>
      <c r="L165" s="30">
        <v>3.85</v>
      </c>
      <c r="M165" s="30">
        <v>4.07</v>
      </c>
      <c r="N165" s="30">
        <v>4.33</v>
      </c>
      <c r="O165" s="30">
        <v>4.91</v>
      </c>
      <c r="P165" s="30">
        <v>4.92</v>
      </c>
    </row>
    <row r="166" spans="2:16" x14ac:dyDescent="0.2">
      <c r="B166" s="29">
        <v>45887</v>
      </c>
      <c r="C166" s="30">
        <v>4.47</v>
      </c>
      <c r="D166" s="30">
        <v>4.4000000000000004</v>
      </c>
      <c r="E166" s="30">
        <v>4.3499999999999996</v>
      </c>
      <c r="F166" s="30">
        <v>4.33</v>
      </c>
      <c r="G166" s="30">
        <v>4.22</v>
      </c>
      <c r="H166" s="30">
        <v>4.13</v>
      </c>
      <c r="I166" s="30">
        <v>3.93</v>
      </c>
      <c r="J166" s="30">
        <v>3.77</v>
      </c>
      <c r="K166" s="30">
        <v>3.73</v>
      </c>
      <c r="L166" s="30">
        <v>3.86</v>
      </c>
      <c r="M166" s="30">
        <v>4.07</v>
      </c>
      <c r="N166" s="30">
        <v>4.34</v>
      </c>
      <c r="O166" s="30">
        <v>4.92</v>
      </c>
      <c r="P166" s="30">
        <v>4.9400000000000004</v>
      </c>
    </row>
    <row r="167" spans="2:16" x14ac:dyDescent="0.2">
      <c r="B167" s="29">
        <v>45888</v>
      </c>
      <c r="C167" s="30">
        <v>4.46</v>
      </c>
      <c r="D167" s="30">
        <v>4.4000000000000004</v>
      </c>
      <c r="E167" s="30">
        <v>4.3499999999999996</v>
      </c>
      <c r="F167" s="30">
        <v>4.3</v>
      </c>
      <c r="G167" s="30">
        <v>4.21</v>
      </c>
      <c r="H167" s="30">
        <v>4.1100000000000003</v>
      </c>
      <c r="I167" s="30">
        <v>3.91</v>
      </c>
      <c r="J167" s="30">
        <v>3.75</v>
      </c>
      <c r="K167" s="30">
        <v>3.7</v>
      </c>
      <c r="L167" s="30">
        <v>3.82</v>
      </c>
      <c r="M167" s="30">
        <v>4.04</v>
      </c>
      <c r="N167" s="30">
        <v>4.3</v>
      </c>
      <c r="O167" s="30">
        <v>4.8899999999999997</v>
      </c>
      <c r="P167" s="30">
        <v>4.9000000000000004</v>
      </c>
    </row>
    <row r="168" spans="2:16" x14ac:dyDescent="0.2">
      <c r="B168" s="29">
        <v>45889</v>
      </c>
      <c r="C168" s="30">
        <v>4.45</v>
      </c>
      <c r="D168" s="30">
        <v>4.4000000000000004</v>
      </c>
      <c r="E168" s="30">
        <v>4.3499999999999996</v>
      </c>
      <c r="F168" s="30">
        <v>4.3</v>
      </c>
      <c r="G168" s="30">
        <v>4.22</v>
      </c>
      <c r="H168" s="30">
        <v>4.1100000000000003</v>
      </c>
      <c r="I168" s="30">
        <v>3.9</v>
      </c>
      <c r="J168" s="30">
        <v>3.74</v>
      </c>
      <c r="K168" s="30">
        <v>3.69</v>
      </c>
      <c r="L168" s="30">
        <v>3.81</v>
      </c>
      <c r="M168" s="30">
        <v>4.0199999999999996</v>
      </c>
      <c r="N168" s="30">
        <v>4.29</v>
      </c>
      <c r="O168" s="30">
        <v>4.8600000000000003</v>
      </c>
      <c r="P168" s="30">
        <v>4.8899999999999997</v>
      </c>
    </row>
    <row r="169" spans="2:16" x14ac:dyDescent="0.2">
      <c r="B169" s="29">
        <v>45890</v>
      </c>
      <c r="C169" s="30">
        <v>4.49</v>
      </c>
      <c r="D169" s="30">
        <v>4.41</v>
      </c>
      <c r="E169" s="30">
        <v>4.3899999999999997</v>
      </c>
      <c r="F169" s="30">
        <v>4.32</v>
      </c>
      <c r="G169" s="30">
        <v>4.24</v>
      </c>
      <c r="H169" s="30">
        <v>4.1399999999999997</v>
      </c>
      <c r="I169" s="30">
        <v>3.95</v>
      </c>
      <c r="J169" s="30">
        <v>3.79</v>
      </c>
      <c r="K169" s="30">
        <v>3.75</v>
      </c>
      <c r="L169" s="30">
        <v>3.86</v>
      </c>
      <c r="M169" s="30">
        <v>4.07</v>
      </c>
      <c r="N169" s="30">
        <v>4.33</v>
      </c>
      <c r="O169" s="30">
        <v>4.8899999999999997</v>
      </c>
      <c r="P169" s="30">
        <v>4.92</v>
      </c>
    </row>
    <row r="170" spans="2:16" x14ac:dyDescent="0.2">
      <c r="B170" s="29">
        <v>45891</v>
      </c>
      <c r="C170" s="30">
        <v>4.47</v>
      </c>
      <c r="D170" s="30">
        <v>4.38</v>
      </c>
      <c r="E170" s="30">
        <v>4.3600000000000003</v>
      </c>
      <c r="F170" s="30">
        <v>4.2699999999999996</v>
      </c>
      <c r="G170" s="30">
        <v>4.21</v>
      </c>
      <c r="H170" s="30">
        <v>4.08</v>
      </c>
      <c r="I170" s="30">
        <v>3.87</v>
      </c>
      <c r="J170" s="30">
        <v>3.68</v>
      </c>
      <c r="K170" s="30">
        <v>3.64</v>
      </c>
      <c r="L170" s="30">
        <v>3.76</v>
      </c>
      <c r="M170" s="30">
        <v>3.98</v>
      </c>
      <c r="N170" s="30">
        <v>4.26</v>
      </c>
      <c r="O170" s="30">
        <v>4.84</v>
      </c>
      <c r="P170" s="30">
        <v>4.88</v>
      </c>
    </row>
    <row r="171" spans="2:16" x14ac:dyDescent="0.2">
      <c r="B171" s="29">
        <v>45894</v>
      </c>
      <c r="C171" s="30">
        <v>4.45</v>
      </c>
      <c r="D171" s="30">
        <v>4.38</v>
      </c>
      <c r="E171" s="30">
        <v>4.3499999999999996</v>
      </c>
      <c r="F171" s="30">
        <v>4.29</v>
      </c>
      <c r="G171" s="30">
        <v>4.21</v>
      </c>
      <c r="H171" s="30">
        <v>4.08</v>
      </c>
      <c r="I171" s="30">
        <v>3.88</v>
      </c>
      <c r="J171" s="30">
        <v>3.73</v>
      </c>
      <c r="K171" s="30">
        <v>3.68</v>
      </c>
      <c r="L171" s="30">
        <v>3.8</v>
      </c>
      <c r="M171" s="30">
        <v>4.01</v>
      </c>
      <c r="N171" s="30">
        <v>4.28</v>
      </c>
      <c r="O171" s="30">
        <v>4.8600000000000003</v>
      </c>
      <c r="P171" s="30">
        <v>4.8899999999999997</v>
      </c>
    </row>
    <row r="172" spans="2:16" x14ac:dyDescent="0.2">
      <c r="B172" s="29">
        <v>45895</v>
      </c>
      <c r="C172" s="30">
        <v>4.42</v>
      </c>
      <c r="D172" s="30">
        <v>4.37</v>
      </c>
      <c r="E172" s="30">
        <v>4.34</v>
      </c>
      <c r="F172" s="30">
        <v>4.28</v>
      </c>
      <c r="G172" s="30">
        <v>4.2</v>
      </c>
      <c r="H172" s="30">
        <v>4.0599999999999996</v>
      </c>
      <c r="I172" s="30">
        <v>3.85</v>
      </c>
      <c r="J172" s="30">
        <v>3.61</v>
      </c>
      <c r="K172" s="30">
        <v>3.63</v>
      </c>
      <c r="L172" s="30">
        <v>3.75</v>
      </c>
      <c r="M172" s="30">
        <v>3.98</v>
      </c>
      <c r="N172" s="30">
        <v>4.26</v>
      </c>
      <c r="O172" s="30">
        <v>4.8600000000000003</v>
      </c>
      <c r="P172" s="30">
        <v>4.9000000000000004</v>
      </c>
    </row>
    <row r="173" spans="2:16" x14ac:dyDescent="0.2">
      <c r="B173" s="29">
        <v>45896</v>
      </c>
      <c r="C173" s="30">
        <v>4.42</v>
      </c>
      <c r="D173" s="30">
        <v>4.3600000000000003</v>
      </c>
      <c r="E173" s="30">
        <v>4.3</v>
      </c>
      <c r="F173" s="30">
        <v>4.26</v>
      </c>
      <c r="G173" s="30">
        <v>4.18</v>
      </c>
      <c r="H173" s="30">
        <v>4.04</v>
      </c>
      <c r="I173" s="30">
        <v>3.83</v>
      </c>
      <c r="J173" s="30">
        <v>3.59</v>
      </c>
      <c r="K173" s="30">
        <v>3.59</v>
      </c>
      <c r="L173" s="30">
        <v>3.69</v>
      </c>
      <c r="M173" s="30">
        <v>3.95</v>
      </c>
      <c r="N173" s="30">
        <v>4.24</v>
      </c>
      <c r="O173" s="30">
        <v>4.87</v>
      </c>
      <c r="P173" s="30">
        <v>4.91</v>
      </c>
    </row>
    <row r="174" spans="2:16" x14ac:dyDescent="0.2">
      <c r="B174" s="29">
        <v>45897</v>
      </c>
      <c r="C174" s="30">
        <v>4.42</v>
      </c>
      <c r="D174" s="30">
        <v>4.3499999999999996</v>
      </c>
      <c r="E174" s="30">
        <v>4.3099999999999996</v>
      </c>
      <c r="F174" s="30">
        <v>4.26</v>
      </c>
      <c r="G174" s="30">
        <v>4.17</v>
      </c>
      <c r="H174" s="30">
        <v>4.04</v>
      </c>
      <c r="I174" s="30">
        <v>3.85</v>
      </c>
      <c r="J174" s="30">
        <v>3.62</v>
      </c>
      <c r="K174" s="30">
        <v>3.6</v>
      </c>
      <c r="L174" s="30">
        <v>3.69</v>
      </c>
      <c r="M174" s="30">
        <v>3.92</v>
      </c>
      <c r="N174" s="30">
        <v>4.22</v>
      </c>
      <c r="O174" s="30">
        <v>4.83</v>
      </c>
      <c r="P174" s="30">
        <v>4.88</v>
      </c>
    </row>
    <row r="175" spans="2:16" x14ac:dyDescent="0.2">
      <c r="B175" s="29">
        <v>45898</v>
      </c>
      <c r="C175" s="30">
        <v>4.41</v>
      </c>
      <c r="D175" s="30">
        <v>4.34</v>
      </c>
      <c r="E175" s="30">
        <v>4.3</v>
      </c>
      <c r="F175" s="30">
        <v>4.2300000000000004</v>
      </c>
      <c r="G175" s="30">
        <v>4.17</v>
      </c>
      <c r="H175" s="30">
        <v>4.01</v>
      </c>
      <c r="I175" s="30">
        <v>3.83</v>
      </c>
      <c r="J175" s="30">
        <v>3.59</v>
      </c>
      <c r="K175" s="30">
        <v>3.58</v>
      </c>
      <c r="L175" s="30">
        <v>3.68</v>
      </c>
      <c r="M175" s="30">
        <v>3.92</v>
      </c>
      <c r="N175" s="30">
        <v>4.2300000000000004</v>
      </c>
      <c r="O175" s="30">
        <v>4.8600000000000003</v>
      </c>
      <c r="P175" s="30">
        <v>4.92</v>
      </c>
    </row>
    <row r="176" spans="2:16" x14ac:dyDescent="0.2">
      <c r="B176" s="29">
        <v>45902</v>
      </c>
      <c r="C176" s="30">
        <v>4.4000000000000004</v>
      </c>
      <c r="D176" s="30">
        <v>4.3499999999999996</v>
      </c>
      <c r="E176" s="30">
        <v>4.29</v>
      </c>
      <c r="F176" s="30">
        <v>4.2</v>
      </c>
      <c r="G176" s="30">
        <v>4.1500000000000004</v>
      </c>
      <c r="H176" s="30">
        <v>3.99</v>
      </c>
      <c r="I176" s="30">
        <v>3.82</v>
      </c>
      <c r="J176" s="30">
        <v>3.66</v>
      </c>
      <c r="K176" s="30">
        <v>3.63</v>
      </c>
      <c r="L176" s="30">
        <v>3.74</v>
      </c>
      <c r="M176" s="30">
        <v>3.98</v>
      </c>
      <c r="N176" s="30">
        <v>4.28</v>
      </c>
      <c r="O176" s="30">
        <v>4.92</v>
      </c>
      <c r="P176" s="30">
        <v>4.97</v>
      </c>
    </row>
    <row r="177" spans="2:16" x14ac:dyDescent="0.2">
      <c r="B177" s="29">
        <v>45903</v>
      </c>
      <c r="C177" s="30">
        <v>4.3499999999999996</v>
      </c>
      <c r="D177" s="30">
        <v>4.33</v>
      </c>
      <c r="E177" s="30">
        <v>4.26</v>
      </c>
      <c r="F177" s="30">
        <v>4.18</v>
      </c>
      <c r="G177" s="30">
        <v>4.1399999999999997</v>
      </c>
      <c r="H177" s="30">
        <v>3.96</v>
      </c>
      <c r="I177" s="30">
        <v>3.77</v>
      </c>
      <c r="J177" s="30">
        <v>3.61</v>
      </c>
      <c r="K177" s="30">
        <v>3.58</v>
      </c>
      <c r="L177" s="30">
        <v>3.69</v>
      </c>
      <c r="M177" s="30">
        <v>3.92</v>
      </c>
      <c r="N177" s="30">
        <v>4.22</v>
      </c>
      <c r="O177" s="30">
        <v>4.8499999999999996</v>
      </c>
      <c r="P177" s="30">
        <v>4.9000000000000004</v>
      </c>
    </row>
    <row r="178" spans="2:16" x14ac:dyDescent="0.2">
      <c r="B178" s="29">
        <v>45904</v>
      </c>
      <c r="C178" s="30">
        <v>4.33</v>
      </c>
      <c r="D178" s="30">
        <v>4.3</v>
      </c>
      <c r="E178" s="30">
        <v>4.28</v>
      </c>
      <c r="F178" s="30">
        <v>4.16</v>
      </c>
      <c r="G178" s="30">
        <v>4.12</v>
      </c>
      <c r="H178" s="30">
        <v>3.94</v>
      </c>
      <c r="I178" s="30">
        <v>3.76</v>
      </c>
      <c r="J178" s="30">
        <v>3.59</v>
      </c>
      <c r="K178" s="30">
        <v>3.55</v>
      </c>
      <c r="L178" s="30">
        <v>3.65</v>
      </c>
      <c r="M178" s="30">
        <v>3.87</v>
      </c>
      <c r="N178" s="30">
        <v>4.17</v>
      </c>
      <c r="O178" s="30">
        <v>4.8099999999999996</v>
      </c>
      <c r="P178" s="30">
        <v>4.8600000000000003</v>
      </c>
    </row>
    <row r="179" spans="2:16" x14ac:dyDescent="0.2">
      <c r="B179" s="29">
        <v>45905</v>
      </c>
      <c r="C179" s="30">
        <v>4.29</v>
      </c>
      <c r="D179" s="30">
        <v>4.24</v>
      </c>
      <c r="E179" s="30">
        <v>4.24</v>
      </c>
      <c r="F179" s="30">
        <v>4.07</v>
      </c>
      <c r="G179" s="30">
        <v>4.05</v>
      </c>
      <c r="H179" s="30">
        <v>3.85</v>
      </c>
      <c r="I179" s="30">
        <v>3.65</v>
      </c>
      <c r="J179" s="30">
        <v>3.51</v>
      </c>
      <c r="K179" s="30">
        <v>3.48</v>
      </c>
      <c r="L179" s="30">
        <v>3.59</v>
      </c>
      <c r="M179" s="30">
        <v>3.8</v>
      </c>
      <c r="N179" s="30">
        <v>4.0999999999999996</v>
      </c>
      <c r="O179" s="30">
        <v>4.72</v>
      </c>
      <c r="P179" s="30">
        <v>4.78</v>
      </c>
    </row>
    <row r="180" spans="2:16" x14ac:dyDescent="0.2">
      <c r="B180" s="29">
        <v>45908</v>
      </c>
      <c r="C180" s="30">
        <v>4.26</v>
      </c>
      <c r="D180" s="30">
        <v>4.2300000000000004</v>
      </c>
      <c r="E180" s="30">
        <v>4.21</v>
      </c>
      <c r="F180" s="30">
        <v>4.0999999999999996</v>
      </c>
      <c r="G180" s="30">
        <v>4.04</v>
      </c>
      <c r="H180" s="30">
        <v>3.84</v>
      </c>
      <c r="I180" s="30">
        <v>3.64</v>
      </c>
      <c r="J180" s="30">
        <v>3.49</v>
      </c>
      <c r="K180" s="30">
        <v>3.47</v>
      </c>
      <c r="L180" s="30">
        <v>3.57</v>
      </c>
      <c r="M180" s="30">
        <v>3.77</v>
      </c>
      <c r="N180" s="30">
        <v>4.05</v>
      </c>
      <c r="O180" s="30">
        <v>4.6500000000000004</v>
      </c>
      <c r="P180" s="30">
        <v>4.6900000000000004</v>
      </c>
    </row>
    <row r="181" spans="2:16" x14ac:dyDescent="0.2">
      <c r="B181" s="29">
        <v>45909</v>
      </c>
      <c r="C181" s="30">
        <v>4.25</v>
      </c>
      <c r="D181" s="30">
        <v>4.25</v>
      </c>
      <c r="E181" s="30">
        <v>4.22</v>
      </c>
      <c r="F181" s="30">
        <v>4.0999999999999996</v>
      </c>
      <c r="G181" s="30">
        <v>4.05</v>
      </c>
      <c r="H181" s="30">
        <v>3.85</v>
      </c>
      <c r="I181" s="30">
        <v>3.68</v>
      </c>
      <c r="J181" s="30">
        <v>3.54</v>
      </c>
      <c r="K181" s="30">
        <v>3.48</v>
      </c>
      <c r="L181" s="30">
        <v>3.61</v>
      </c>
      <c r="M181" s="30">
        <v>3.81</v>
      </c>
      <c r="N181" s="30">
        <v>4.08</v>
      </c>
      <c r="O181" s="30">
        <v>4.68</v>
      </c>
      <c r="P181" s="30">
        <v>4.72</v>
      </c>
    </row>
    <row r="182" spans="2:16" x14ac:dyDescent="0.2">
      <c r="B182" s="29">
        <v>45910</v>
      </c>
      <c r="C182" s="30">
        <v>4.2300000000000004</v>
      </c>
      <c r="D182" s="30">
        <v>4.2300000000000004</v>
      </c>
      <c r="E182" s="30">
        <v>4.2</v>
      </c>
      <c r="F182" s="30">
        <v>4.09</v>
      </c>
      <c r="G182" s="30">
        <v>4.0199999999999996</v>
      </c>
      <c r="H182" s="30">
        <v>3.83</v>
      </c>
      <c r="I182" s="30">
        <v>3.66</v>
      </c>
      <c r="J182" s="30">
        <v>3.54</v>
      </c>
      <c r="K182" s="30">
        <v>3.47</v>
      </c>
      <c r="L182" s="30">
        <v>3.59</v>
      </c>
      <c r="M182" s="30">
        <v>3.78</v>
      </c>
      <c r="N182" s="30">
        <v>4.04</v>
      </c>
      <c r="O182" s="30">
        <v>4.6500000000000004</v>
      </c>
      <c r="P182" s="30">
        <v>4.6900000000000004</v>
      </c>
    </row>
    <row r="183" spans="2:16" x14ac:dyDescent="0.2">
      <c r="B183" s="29">
        <v>45911</v>
      </c>
      <c r="C183" s="30">
        <v>4.22</v>
      </c>
      <c r="D183" s="30">
        <v>4.22</v>
      </c>
      <c r="E183" s="30">
        <v>4.18</v>
      </c>
      <c r="F183" s="30">
        <v>4.08</v>
      </c>
      <c r="G183" s="30">
        <v>4</v>
      </c>
      <c r="H183" s="30">
        <v>3.82</v>
      </c>
      <c r="I183" s="30">
        <v>3.63</v>
      </c>
      <c r="J183" s="30">
        <v>3.52</v>
      </c>
      <c r="K183" s="30">
        <v>3.47</v>
      </c>
      <c r="L183" s="30">
        <v>3.59</v>
      </c>
      <c r="M183" s="30">
        <v>3.76</v>
      </c>
      <c r="N183" s="30">
        <v>4.01</v>
      </c>
      <c r="O183" s="30">
        <v>4.6100000000000003</v>
      </c>
      <c r="P183" s="30">
        <v>4.6500000000000004</v>
      </c>
    </row>
    <row r="184" spans="2:16" x14ac:dyDescent="0.2">
      <c r="B184" s="29">
        <v>45912</v>
      </c>
      <c r="C184" s="30">
        <v>4.24</v>
      </c>
      <c r="D184" s="30">
        <v>4.24</v>
      </c>
      <c r="E184" s="30">
        <v>4.2</v>
      </c>
      <c r="F184" s="30">
        <v>4.08</v>
      </c>
      <c r="G184" s="30">
        <v>4.0199999999999996</v>
      </c>
      <c r="H184" s="30">
        <v>3.83</v>
      </c>
      <c r="I184" s="30">
        <v>3.66</v>
      </c>
      <c r="J184" s="30">
        <v>3.56</v>
      </c>
      <c r="K184" s="30">
        <v>3.52</v>
      </c>
      <c r="L184" s="30">
        <v>3.63</v>
      </c>
      <c r="M184" s="30">
        <v>3.81</v>
      </c>
      <c r="N184" s="30">
        <v>4.0599999999999996</v>
      </c>
      <c r="O184" s="30">
        <v>4.6500000000000004</v>
      </c>
      <c r="P184" s="30">
        <v>4.68</v>
      </c>
    </row>
    <row r="185" spans="2:16" x14ac:dyDescent="0.2">
      <c r="B185" s="29">
        <v>45915</v>
      </c>
      <c r="C185" s="30">
        <v>4.22</v>
      </c>
      <c r="D185" s="30">
        <v>4.21</v>
      </c>
      <c r="E185" s="30">
        <v>4.17</v>
      </c>
      <c r="F185" s="30">
        <v>4.0599999999999996</v>
      </c>
      <c r="G185" s="30">
        <v>4</v>
      </c>
      <c r="H185" s="30">
        <v>3.81</v>
      </c>
      <c r="I185" s="30">
        <v>3.64</v>
      </c>
      <c r="J185" s="30">
        <v>3.54</v>
      </c>
      <c r="K185" s="30">
        <v>3.5</v>
      </c>
      <c r="L185" s="30">
        <v>3.61</v>
      </c>
      <c r="M185" s="30">
        <v>3.79</v>
      </c>
      <c r="N185" s="30">
        <v>4.05</v>
      </c>
      <c r="O185" s="30">
        <v>4.63</v>
      </c>
      <c r="P185" s="30">
        <v>4.66</v>
      </c>
    </row>
    <row r="186" spans="2:16" x14ac:dyDescent="0.2">
      <c r="B186" s="29">
        <v>45916</v>
      </c>
      <c r="C186" s="30">
        <v>4.2</v>
      </c>
      <c r="D186" s="30">
        <v>4.1900000000000004</v>
      </c>
      <c r="E186" s="30">
        <v>4.1500000000000004</v>
      </c>
      <c r="F186" s="30">
        <v>4.04</v>
      </c>
      <c r="G186" s="30">
        <v>4</v>
      </c>
      <c r="H186" s="30">
        <v>3.81</v>
      </c>
      <c r="I186" s="30">
        <v>3.62</v>
      </c>
      <c r="J186" s="30">
        <v>3.51</v>
      </c>
      <c r="K186" s="30">
        <v>3.47</v>
      </c>
      <c r="L186" s="30">
        <v>3.59</v>
      </c>
      <c r="M186" s="30">
        <v>3.78</v>
      </c>
      <c r="N186" s="30">
        <v>4.04</v>
      </c>
      <c r="O186" s="30">
        <v>4.6100000000000003</v>
      </c>
      <c r="P186" s="30">
        <v>4.6500000000000004</v>
      </c>
    </row>
    <row r="187" spans="2:16" x14ac:dyDescent="0.2">
      <c r="B187" s="29">
        <v>45917</v>
      </c>
      <c r="C187" s="30">
        <v>4.17</v>
      </c>
      <c r="D187" s="30">
        <v>4.16</v>
      </c>
      <c r="E187" s="30">
        <v>4.1100000000000003</v>
      </c>
      <c r="F187" s="30">
        <v>4.0199999999999996</v>
      </c>
      <c r="G187" s="30">
        <v>3.97</v>
      </c>
      <c r="H187" s="30">
        <v>3.8</v>
      </c>
      <c r="I187" s="30">
        <v>3.6</v>
      </c>
      <c r="J187" s="30">
        <v>3.52</v>
      </c>
      <c r="K187" s="30">
        <v>3.51</v>
      </c>
      <c r="L187" s="30">
        <v>3.62</v>
      </c>
      <c r="M187" s="30">
        <v>3.81</v>
      </c>
      <c r="N187" s="30">
        <v>4.0599999999999996</v>
      </c>
      <c r="O187" s="30">
        <v>4.62</v>
      </c>
      <c r="P187" s="30">
        <v>4.66</v>
      </c>
    </row>
    <row r="188" spans="2:16" x14ac:dyDescent="0.2">
      <c r="B188" s="29">
        <v>45918</v>
      </c>
      <c r="C188" s="30">
        <v>4.2</v>
      </c>
      <c r="D188" s="30">
        <v>4.17</v>
      </c>
      <c r="E188" s="30">
        <v>4.1399999999999997</v>
      </c>
      <c r="F188" s="30">
        <v>4.03</v>
      </c>
      <c r="G188" s="30">
        <v>3.98</v>
      </c>
      <c r="H188" s="30">
        <v>3.81</v>
      </c>
      <c r="I188" s="30">
        <v>3.61</v>
      </c>
      <c r="J188" s="30">
        <v>3.57</v>
      </c>
      <c r="K188" s="30">
        <v>3.55</v>
      </c>
      <c r="L188" s="30">
        <v>3.67</v>
      </c>
      <c r="M188" s="30">
        <v>3.86</v>
      </c>
      <c r="N188" s="30">
        <v>4.1100000000000003</v>
      </c>
      <c r="O188" s="30">
        <v>4.68</v>
      </c>
      <c r="P188" s="30">
        <v>4.72</v>
      </c>
    </row>
    <row r="189" spans="2:16" x14ac:dyDescent="0.2">
      <c r="B189" s="29">
        <v>45919</v>
      </c>
      <c r="C189" s="30">
        <v>4.1900000000000004</v>
      </c>
      <c r="D189" s="30">
        <v>4.16</v>
      </c>
      <c r="E189" s="30">
        <v>4.1399999999999997</v>
      </c>
      <c r="F189" s="30">
        <v>4.03</v>
      </c>
      <c r="G189" s="30">
        <v>3.98</v>
      </c>
      <c r="H189" s="30">
        <v>3.81</v>
      </c>
      <c r="I189" s="30">
        <v>3.6</v>
      </c>
      <c r="J189" s="30">
        <v>3.57</v>
      </c>
      <c r="K189" s="30">
        <v>3.56</v>
      </c>
      <c r="L189" s="30">
        <v>3.68</v>
      </c>
      <c r="M189" s="30">
        <v>3.88</v>
      </c>
      <c r="N189" s="30">
        <v>4.1399999999999997</v>
      </c>
      <c r="O189" s="30">
        <v>4.71</v>
      </c>
      <c r="P189" s="30">
        <v>4.75</v>
      </c>
    </row>
    <row r="190" spans="2:16" x14ac:dyDescent="0.2">
      <c r="B190" s="29">
        <v>45922</v>
      </c>
      <c r="C190" s="30">
        <v>4.17</v>
      </c>
      <c r="D190" s="30">
        <v>4.1500000000000004</v>
      </c>
      <c r="E190" s="30">
        <v>4.13</v>
      </c>
      <c r="F190" s="30">
        <v>4</v>
      </c>
      <c r="G190" s="30">
        <v>3.98</v>
      </c>
      <c r="H190" s="30">
        <v>3.81</v>
      </c>
      <c r="I190" s="30">
        <v>3.61</v>
      </c>
      <c r="J190" s="30">
        <v>3.61</v>
      </c>
      <c r="K190" s="30">
        <v>3.59</v>
      </c>
      <c r="L190" s="30">
        <v>3.71</v>
      </c>
      <c r="M190" s="30">
        <v>3.9</v>
      </c>
      <c r="N190" s="30">
        <v>4.1500000000000004</v>
      </c>
      <c r="O190" s="30">
        <v>4.7300000000000004</v>
      </c>
      <c r="P190" s="30">
        <v>4.7699999999999996</v>
      </c>
    </row>
    <row r="191" spans="2:16" x14ac:dyDescent="0.2">
      <c r="B191" s="29">
        <v>45923</v>
      </c>
      <c r="C191" s="30">
        <v>4.16</v>
      </c>
      <c r="D191" s="30">
        <v>4.18</v>
      </c>
      <c r="E191" s="30">
        <v>4.12</v>
      </c>
      <c r="F191" s="30">
        <v>4</v>
      </c>
      <c r="G191" s="30">
        <v>3.97</v>
      </c>
      <c r="H191" s="30">
        <v>3.81</v>
      </c>
      <c r="I191" s="30">
        <v>3.61</v>
      </c>
      <c r="J191" s="30">
        <v>3.53</v>
      </c>
      <c r="K191" s="30">
        <v>3.57</v>
      </c>
      <c r="L191" s="30">
        <v>3.68</v>
      </c>
      <c r="M191" s="30">
        <v>3.87</v>
      </c>
      <c r="N191" s="30">
        <v>4.12</v>
      </c>
      <c r="O191" s="30">
        <v>4.7</v>
      </c>
      <c r="P191" s="30">
        <v>4.7300000000000004</v>
      </c>
    </row>
    <row r="192" spans="2:16" x14ac:dyDescent="0.2">
      <c r="B192" s="29">
        <v>45924</v>
      </c>
      <c r="C192" s="30">
        <v>4.18</v>
      </c>
      <c r="D192" s="30">
        <v>4.1900000000000004</v>
      </c>
      <c r="E192" s="30">
        <v>4.13</v>
      </c>
      <c r="F192" s="30">
        <v>4.0199999999999996</v>
      </c>
      <c r="G192" s="30">
        <v>3.98</v>
      </c>
      <c r="H192" s="30">
        <v>3.82</v>
      </c>
      <c r="I192" s="30">
        <v>3.63</v>
      </c>
      <c r="J192" s="30">
        <v>3.57</v>
      </c>
      <c r="K192" s="30">
        <v>3.6</v>
      </c>
      <c r="L192" s="30">
        <v>3.7</v>
      </c>
      <c r="M192" s="30">
        <v>3.91</v>
      </c>
      <c r="N192" s="30">
        <v>4.16</v>
      </c>
      <c r="O192" s="30">
        <v>4.7300000000000004</v>
      </c>
      <c r="P192" s="30">
        <v>4.76</v>
      </c>
    </row>
    <row r="193" spans="2:16" x14ac:dyDescent="0.2">
      <c r="B193" s="29">
        <v>45925</v>
      </c>
      <c r="C193" s="30">
        <v>4.24</v>
      </c>
      <c r="D193" s="30">
        <v>4.2</v>
      </c>
      <c r="E193" s="30">
        <v>4.18</v>
      </c>
      <c r="F193" s="30">
        <v>4.04</v>
      </c>
      <c r="G193" s="30">
        <v>4.01</v>
      </c>
      <c r="H193" s="30">
        <v>3.85</v>
      </c>
      <c r="I193" s="30">
        <v>3.68</v>
      </c>
      <c r="J193" s="30">
        <v>3.64</v>
      </c>
      <c r="K193" s="30">
        <v>3.66</v>
      </c>
      <c r="L193" s="30">
        <v>3.75</v>
      </c>
      <c r="M193" s="30">
        <v>3.94</v>
      </c>
      <c r="N193" s="30">
        <v>4.18</v>
      </c>
      <c r="O193" s="30">
        <v>4.7300000000000004</v>
      </c>
      <c r="P193" s="30">
        <v>4.75</v>
      </c>
    </row>
    <row r="194" spans="2:16" x14ac:dyDescent="0.2">
      <c r="B194" s="29">
        <v>45926</v>
      </c>
      <c r="C194" s="30">
        <v>4.22</v>
      </c>
      <c r="D194" s="30">
        <v>4.2</v>
      </c>
      <c r="E194" s="30">
        <v>4.17</v>
      </c>
      <c r="F194" s="30">
        <v>4.0199999999999996</v>
      </c>
      <c r="G194" s="30">
        <v>4</v>
      </c>
      <c r="H194" s="30">
        <v>3.83</v>
      </c>
      <c r="I194" s="30">
        <v>3.67</v>
      </c>
      <c r="J194" s="30">
        <v>3.63</v>
      </c>
      <c r="K194" s="30">
        <v>3.66</v>
      </c>
      <c r="L194" s="30">
        <v>3.76</v>
      </c>
      <c r="M194" s="30">
        <v>3.96</v>
      </c>
      <c r="N194" s="30">
        <v>4.2</v>
      </c>
      <c r="O194" s="30">
        <v>4.74</v>
      </c>
      <c r="P194" s="30">
        <v>4.7699999999999996</v>
      </c>
    </row>
    <row r="195" spans="2:16" x14ac:dyDescent="0.2">
      <c r="B195" s="29">
        <v>45929</v>
      </c>
      <c r="C195" s="30">
        <v>4.22</v>
      </c>
      <c r="D195" s="30">
        <v>4.1900000000000004</v>
      </c>
      <c r="E195" s="30">
        <v>4.16</v>
      </c>
      <c r="F195" s="30">
        <v>4.04</v>
      </c>
      <c r="G195" s="30">
        <v>3.99</v>
      </c>
      <c r="H195" s="30">
        <v>3.84</v>
      </c>
      <c r="I195" s="30">
        <v>3.65</v>
      </c>
      <c r="J195" s="30">
        <v>3.63</v>
      </c>
      <c r="K195" s="30">
        <v>3.63</v>
      </c>
      <c r="L195" s="30">
        <v>3.74</v>
      </c>
      <c r="M195" s="30">
        <v>3.92</v>
      </c>
      <c r="N195" s="30">
        <v>4.1500000000000004</v>
      </c>
      <c r="O195" s="30">
        <v>4.6900000000000004</v>
      </c>
      <c r="P195" s="30">
        <v>4.71</v>
      </c>
    </row>
    <row r="196" spans="2:16" x14ac:dyDescent="0.2">
      <c r="B196" s="29">
        <v>45930</v>
      </c>
      <c r="C196" s="30">
        <v>4.2</v>
      </c>
      <c r="D196" s="30">
        <v>4.1900000000000004</v>
      </c>
      <c r="E196" s="30">
        <v>4.1500000000000004</v>
      </c>
      <c r="F196" s="30">
        <v>4.0199999999999996</v>
      </c>
      <c r="G196" s="30">
        <v>3.98</v>
      </c>
      <c r="H196" s="30">
        <v>3.83</v>
      </c>
      <c r="I196" s="30">
        <v>3.68</v>
      </c>
      <c r="J196" s="30">
        <v>3.6</v>
      </c>
      <c r="K196" s="30">
        <v>3.61</v>
      </c>
      <c r="L196" s="30">
        <v>3.74</v>
      </c>
      <c r="M196" s="30">
        <v>3.93</v>
      </c>
      <c r="N196" s="30">
        <v>4.16</v>
      </c>
      <c r="O196" s="30">
        <v>4.71</v>
      </c>
      <c r="P196" s="30">
        <v>4.7300000000000004</v>
      </c>
    </row>
    <row r="197" spans="2:16" x14ac:dyDescent="0.2">
      <c r="B197" s="29">
        <v>45931</v>
      </c>
      <c r="C197" s="30">
        <v>4.17</v>
      </c>
      <c r="D197" s="30">
        <v>4.18</v>
      </c>
      <c r="E197" s="30">
        <v>4.12</v>
      </c>
      <c r="F197" s="30">
        <v>4.01</v>
      </c>
      <c r="G197" s="30">
        <v>3.95</v>
      </c>
      <c r="H197" s="30">
        <v>3.8</v>
      </c>
      <c r="I197" s="30">
        <v>3.62</v>
      </c>
      <c r="J197" s="30">
        <v>3.55</v>
      </c>
      <c r="K197" s="30">
        <v>3.56</v>
      </c>
      <c r="L197" s="30">
        <v>3.68</v>
      </c>
      <c r="M197" s="30">
        <v>3.88</v>
      </c>
      <c r="N197" s="30">
        <v>4.12</v>
      </c>
      <c r="O197" s="30">
        <v>4.6900000000000004</v>
      </c>
      <c r="P197" s="30">
        <v>4.72</v>
      </c>
    </row>
    <row r="198" spans="2:16" x14ac:dyDescent="0.2">
      <c r="B198" s="29">
        <v>45932</v>
      </c>
      <c r="C198" s="30">
        <v>4.2300000000000004</v>
      </c>
      <c r="D198" s="30">
        <v>4.18</v>
      </c>
      <c r="E198" s="30">
        <v>4.1100000000000003</v>
      </c>
      <c r="F198" s="30">
        <v>4.0199999999999996</v>
      </c>
      <c r="G198" s="30">
        <v>3.96</v>
      </c>
      <c r="H198" s="30">
        <v>3.81</v>
      </c>
      <c r="I198" s="30">
        <v>3.62</v>
      </c>
      <c r="J198" s="30">
        <v>3.55</v>
      </c>
      <c r="K198" s="30">
        <v>3.56</v>
      </c>
      <c r="L198" s="30">
        <v>3.67</v>
      </c>
      <c r="M198" s="30">
        <v>3.86</v>
      </c>
      <c r="N198" s="30">
        <v>4.0999999999999996</v>
      </c>
      <c r="O198" s="30">
        <v>4.66</v>
      </c>
      <c r="P198" s="30">
        <v>4.6900000000000004</v>
      </c>
    </row>
    <row r="199" spans="2:16" x14ac:dyDescent="0.2">
      <c r="B199" s="29">
        <v>45933</v>
      </c>
      <c r="C199" s="30">
        <v>4.24</v>
      </c>
      <c r="D199" s="30">
        <v>4.17</v>
      </c>
      <c r="E199" s="30">
        <v>4.1100000000000003</v>
      </c>
      <c r="F199" s="30">
        <v>4.03</v>
      </c>
      <c r="G199" s="30">
        <v>3.96</v>
      </c>
      <c r="H199" s="30">
        <v>3.82</v>
      </c>
      <c r="I199" s="30">
        <v>3.64</v>
      </c>
      <c r="J199" s="30">
        <v>3.58</v>
      </c>
      <c r="K199" s="30">
        <v>3.59</v>
      </c>
      <c r="L199" s="30">
        <v>3.72</v>
      </c>
      <c r="M199" s="30">
        <v>3.9</v>
      </c>
      <c r="N199" s="30">
        <v>4.13</v>
      </c>
      <c r="O199" s="30">
        <v>4.6900000000000004</v>
      </c>
      <c r="P199" s="30">
        <v>4.71</v>
      </c>
    </row>
    <row r="200" spans="2:16" x14ac:dyDescent="0.2">
      <c r="B200" s="29">
        <v>45936</v>
      </c>
      <c r="C200" s="30">
        <v>4.22</v>
      </c>
      <c r="D200" s="30">
        <v>4.1399999999999997</v>
      </c>
      <c r="E200" s="30">
        <v>4.1100000000000003</v>
      </c>
      <c r="F200" s="30">
        <v>4.0199999999999996</v>
      </c>
      <c r="G200" s="30">
        <v>3.95</v>
      </c>
      <c r="H200" s="30">
        <v>3.81</v>
      </c>
      <c r="I200" s="30">
        <v>3.66</v>
      </c>
      <c r="J200" s="30">
        <v>3.6</v>
      </c>
      <c r="K200" s="30">
        <v>3.63</v>
      </c>
      <c r="L200" s="30">
        <v>3.75</v>
      </c>
      <c r="M200" s="30">
        <v>3.95</v>
      </c>
      <c r="N200" s="30">
        <v>4.18</v>
      </c>
      <c r="O200" s="30">
        <v>4.7300000000000004</v>
      </c>
      <c r="P200" s="30">
        <v>4.76</v>
      </c>
    </row>
    <row r="201" spans="2:16" x14ac:dyDescent="0.2">
      <c r="B201" s="29">
        <v>45937</v>
      </c>
      <c r="C201" s="30">
        <v>4.2</v>
      </c>
      <c r="D201" s="30">
        <v>4.17</v>
      </c>
      <c r="E201" s="30">
        <v>4.0999999999999996</v>
      </c>
      <c r="F201" s="30">
        <v>4.01</v>
      </c>
      <c r="G201" s="30">
        <v>3.95</v>
      </c>
      <c r="H201" s="30">
        <v>3.81</v>
      </c>
      <c r="I201" s="30">
        <v>3.65</v>
      </c>
      <c r="J201" s="30">
        <v>3.57</v>
      </c>
      <c r="K201" s="30">
        <v>3.56</v>
      </c>
      <c r="L201" s="30">
        <v>3.71</v>
      </c>
      <c r="M201" s="30">
        <v>3.9</v>
      </c>
      <c r="N201" s="30">
        <v>4.1399999999999997</v>
      </c>
      <c r="O201" s="30">
        <v>4.7</v>
      </c>
      <c r="P201" s="30">
        <v>4.7300000000000004</v>
      </c>
    </row>
    <row r="202" spans="2:16" x14ac:dyDescent="0.2">
      <c r="B202" s="29">
        <v>45938</v>
      </c>
      <c r="C202" s="30">
        <v>4.2</v>
      </c>
      <c r="D202" s="30">
        <v>4.16</v>
      </c>
      <c r="E202" s="30">
        <v>4.09</v>
      </c>
      <c r="F202" s="30">
        <v>4.01</v>
      </c>
      <c r="G202" s="30">
        <v>3.94</v>
      </c>
      <c r="H202" s="30">
        <v>3.82</v>
      </c>
      <c r="I202" s="30">
        <v>3.66</v>
      </c>
      <c r="J202" s="30">
        <v>3.58</v>
      </c>
      <c r="K202" s="30">
        <v>3.58</v>
      </c>
      <c r="L202" s="30">
        <v>3.72</v>
      </c>
      <c r="M202" s="30">
        <v>3.91</v>
      </c>
      <c r="N202" s="30">
        <v>4.13</v>
      </c>
      <c r="O202" s="30">
        <v>4.6900000000000004</v>
      </c>
      <c r="P202" s="30">
        <v>4.72</v>
      </c>
    </row>
    <row r="203" spans="2:16" x14ac:dyDescent="0.2">
      <c r="B203" s="29">
        <v>45939</v>
      </c>
      <c r="C203" s="30">
        <v>4.2</v>
      </c>
      <c r="D203" s="30">
        <v>4.17</v>
      </c>
      <c r="E203" s="30">
        <v>4.1100000000000003</v>
      </c>
      <c r="F203" s="30">
        <v>4.03</v>
      </c>
      <c r="G203" s="30">
        <v>3.95</v>
      </c>
      <c r="H203" s="30">
        <v>3.83</v>
      </c>
      <c r="I203" s="30">
        <v>3.66</v>
      </c>
      <c r="J203" s="30">
        <v>3.6</v>
      </c>
      <c r="K203" s="30">
        <v>3.59</v>
      </c>
      <c r="L203" s="30">
        <v>3.74</v>
      </c>
      <c r="M203" s="30">
        <v>3.92</v>
      </c>
      <c r="N203" s="30">
        <v>4.1399999999999997</v>
      </c>
      <c r="O203" s="30">
        <v>4.7</v>
      </c>
      <c r="P203" s="30">
        <v>4.72</v>
      </c>
    </row>
    <row r="204" spans="2:16" x14ac:dyDescent="0.2">
      <c r="B204" s="29">
        <v>45940</v>
      </c>
      <c r="C204" s="30">
        <v>4.1900000000000004</v>
      </c>
      <c r="D204" s="30">
        <v>4.16</v>
      </c>
      <c r="E204" s="30">
        <v>4.0999999999999996</v>
      </c>
      <c r="F204" s="30">
        <v>4.0199999999999996</v>
      </c>
      <c r="G204" s="30">
        <v>3.96</v>
      </c>
      <c r="H204" s="30">
        <v>3.81</v>
      </c>
      <c r="I204" s="30">
        <v>3.6</v>
      </c>
      <c r="J204" s="30">
        <v>3.52</v>
      </c>
      <c r="K204" s="30">
        <v>3.52</v>
      </c>
      <c r="L204" s="30">
        <v>3.65</v>
      </c>
      <c r="M204" s="30">
        <v>3.83</v>
      </c>
      <c r="N204" s="30">
        <v>4.05</v>
      </c>
      <c r="O204" s="30">
        <v>4.5999999999999996</v>
      </c>
      <c r="P204" s="30">
        <v>4.63</v>
      </c>
    </row>
    <row r="205" spans="2:16" x14ac:dyDescent="0.2">
      <c r="B205" s="29">
        <v>45944</v>
      </c>
      <c r="C205" s="30">
        <v>4.1900000000000004</v>
      </c>
      <c r="D205" s="30">
        <v>4.18</v>
      </c>
      <c r="E205" s="30">
        <v>4.08</v>
      </c>
      <c r="F205" s="30">
        <v>4.0199999999999996</v>
      </c>
      <c r="G205" s="30">
        <v>3.95</v>
      </c>
      <c r="H205" s="30">
        <v>3.8</v>
      </c>
      <c r="I205" s="30">
        <v>3.58</v>
      </c>
      <c r="J205" s="30">
        <v>3.48</v>
      </c>
      <c r="K205" s="30">
        <v>3.47</v>
      </c>
      <c r="L205" s="30">
        <v>3.6</v>
      </c>
      <c r="M205" s="30">
        <v>3.79</v>
      </c>
      <c r="N205" s="30">
        <v>4.03</v>
      </c>
      <c r="O205" s="30">
        <v>4.59</v>
      </c>
      <c r="P205" s="30">
        <v>4.62</v>
      </c>
    </row>
    <row r="206" spans="2:16" x14ac:dyDescent="0.2">
      <c r="B206" s="29">
        <v>45945</v>
      </c>
      <c r="C206" s="30">
        <v>4.2</v>
      </c>
      <c r="D206" s="30">
        <v>4.18</v>
      </c>
      <c r="E206" s="30">
        <v>4.09</v>
      </c>
      <c r="F206" s="30">
        <v>4.03</v>
      </c>
      <c r="G206" s="30">
        <v>3.98</v>
      </c>
      <c r="H206" s="30">
        <v>3.82</v>
      </c>
      <c r="I206" s="30">
        <v>3.61</v>
      </c>
      <c r="J206" s="30">
        <v>3.5</v>
      </c>
      <c r="K206" s="30">
        <v>3.51</v>
      </c>
      <c r="L206" s="30">
        <v>3.63</v>
      </c>
      <c r="M206" s="30">
        <v>3.82</v>
      </c>
      <c r="N206" s="30">
        <v>4.05</v>
      </c>
      <c r="O206" s="30">
        <v>4.6100000000000003</v>
      </c>
      <c r="P206" s="30">
        <v>4.6399999999999997</v>
      </c>
    </row>
    <row r="207" spans="2:16" x14ac:dyDescent="0.2">
      <c r="B207" s="29">
        <v>45946</v>
      </c>
      <c r="C207" s="30">
        <v>4.2</v>
      </c>
      <c r="D207" s="30">
        <v>4.17</v>
      </c>
      <c r="E207" s="30">
        <v>4.0999999999999996</v>
      </c>
      <c r="F207" s="30">
        <v>4.0199999999999996</v>
      </c>
      <c r="G207" s="30">
        <v>3.96</v>
      </c>
      <c r="H207" s="30">
        <v>3.79</v>
      </c>
      <c r="I207" s="30">
        <v>3.54</v>
      </c>
      <c r="J207" s="30">
        <v>3.41</v>
      </c>
      <c r="K207" s="30">
        <v>3.42</v>
      </c>
      <c r="L207" s="30">
        <v>3.55</v>
      </c>
      <c r="M207" s="30">
        <v>3.74</v>
      </c>
      <c r="N207" s="30">
        <v>3.99</v>
      </c>
      <c r="O207" s="30">
        <v>4.5599999999999996</v>
      </c>
      <c r="P207" s="30">
        <v>4.58</v>
      </c>
    </row>
    <row r="208" spans="2:16" x14ac:dyDescent="0.2">
      <c r="B208" s="29">
        <v>45947</v>
      </c>
      <c r="C208" s="30">
        <v>4.18</v>
      </c>
      <c r="D208" s="30">
        <v>4.1500000000000004</v>
      </c>
      <c r="E208" s="30">
        <v>4.08</v>
      </c>
      <c r="F208" s="30">
        <v>4</v>
      </c>
      <c r="G208" s="30">
        <v>3.95</v>
      </c>
      <c r="H208" s="30">
        <v>3.79</v>
      </c>
      <c r="I208" s="30">
        <v>3.56</v>
      </c>
      <c r="J208" s="30">
        <v>3.46</v>
      </c>
      <c r="K208" s="30">
        <v>3.47</v>
      </c>
      <c r="L208" s="30">
        <v>3.59</v>
      </c>
      <c r="M208" s="30">
        <v>3.78</v>
      </c>
      <c r="N208" s="30">
        <v>4.0199999999999996</v>
      </c>
      <c r="O208" s="30">
        <v>4.58</v>
      </c>
      <c r="P208" s="30">
        <v>4.5999999999999996</v>
      </c>
    </row>
    <row r="209" spans="2:16" x14ac:dyDescent="0.2">
      <c r="B209" s="29">
        <v>45950</v>
      </c>
      <c r="C209" s="30">
        <v>4.1500000000000004</v>
      </c>
      <c r="D209" s="30">
        <v>4.1100000000000003</v>
      </c>
      <c r="E209" s="30">
        <v>4.05</v>
      </c>
      <c r="F209" s="30">
        <v>3.97</v>
      </c>
      <c r="G209" s="30">
        <v>3.92</v>
      </c>
      <c r="H209" s="30">
        <v>3.78</v>
      </c>
      <c r="I209" s="30">
        <v>3.55</v>
      </c>
      <c r="J209" s="30">
        <v>3.46</v>
      </c>
      <c r="K209" s="30">
        <v>3.47</v>
      </c>
      <c r="L209" s="30">
        <v>3.58</v>
      </c>
      <c r="M209" s="30">
        <v>3.77</v>
      </c>
      <c r="N209" s="30">
        <v>4</v>
      </c>
      <c r="O209" s="30">
        <v>4.5599999999999996</v>
      </c>
      <c r="P209" s="30">
        <v>4.58</v>
      </c>
    </row>
    <row r="210" spans="2:16" x14ac:dyDescent="0.2">
      <c r="B210" s="29">
        <v>45951</v>
      </c>
      <c r="C210" s="30">
        <v>4.12</v>
      </c>
      <c r="D210" s="30">
        <v>4.09</v>
      </c>
      <c r="E210" s="30">
        <v>4.05</v>
      </c>
      <c r="F210" s="30">
        <v>3.96</v>
      </c>
      <c r="G210" s="30">
        <v>3.9</v>
      </c>
      <c r="H210" s="30">
        <v>3.78</v>
      </c>
      <c r="I210" s="30">
        <v>3.56</v>
      </c>
      <c r="J210" s="30">
        <v>3.45</v>
      </c>
      <c r="K210" s="30">
        <v>3.46</v>
      </c>
      <c r="L210" s="30">
        <v>3.56</v>
      </c>
      <c r="M210" s="30">
        <v>3.74</v>
      </c>
      <c r="N210" s="30">
        <v>3.98</v>
      </c>
      <c r="O210" s="30">
        <v>4.53</v>
      </c>
      <c r="P210" s="30">
        <v>4.55</v>
      </c>
    </row>
    <row r="211" spans="2:16" x14ac:dyDescent="0.2">
      <c r="B211" s="29">
        <v>45952</v>
      </c>
      <c r="C211" s="30">
        <v>4.1100000000000003</v>
      </c>
      <c r="D211" s="30">
        <v>4.08</v>
      </c>
      <c r="E211" s="30">
        <v>4.04</v>
      </c>
      <c r="F211" s="30">
        <v>3.96</v>
      </c>
      <c r="G211" s="30">
        <v>3.9</v>
      </c>
      <c r="H211" s="30">
        <v>3.78</v>
      </c>
      <c r="I211" s="30">
        <v>3.55</v>
      </c>
      <c r="J211" s="30">
        <v>3.45</v>
      </c>
      <c r="K211" s="30">
        <v>3.44</v>
      </c>
      <c r="L211" s="30">
        <v>3.56</v>
      </c>
      <c r="M211" s="30">
        <v>3.74</v>
      </c>
      <c r="N211" s="30">
        <v>3.97</v>
      </c>
      <c r="O211" s="30">
        <v>4.5199999999999996</v>
      </c>
      <c r="P211" s="30">
        <v>4.54</v>
      </c>
    </row>
    <row r="212" spans="2:16" x14ac:dyDescent="0.2">
      <c r="B212" s="29">
        <v>45953</v>
      </c>
      <c r="C212" s="30">
        <v>4.12</v>
      </c>
      <c r="D212" s="30">
        <v>4.08</v>
      </c>
      <c r="E212" s="30">
        <v>4.05</v>
      </c>
      <c r="F212" s="30">
        <v>3.95</v>
      </c>
      <c r="G212" s="30">
        <v>3.9</v>
      </c>
      <c r="H212" s="30">
        <v>3.78</v>
      </c>
      <c r="I212" s="30">
        <v>3.59</v>
      </c>
      <c r="J212" s="30">
        <v>3.48</v>
      </c>
      <c r="K212" s="30">
        <v>3.49</v>
      </c>
      <c r="L212" s="30">
        <v>3.61</v>
      </c>
      <c r="M212" s="30">
        <v>3.79</v>
      </c>
      <c r="N212" s="30">
        <v>4.01</v>
      </c>
      <c r="O212" s="30">
        <v>4.55</v>
      </c>
      <c r="P212" s="30">
        <v>4.58</v>
      </c>
    </row>
    <row r="213" spans="2:16" x14ac:dyDescent="0.2">
      <c r="B213" s="29">
        <v>45954</v>
      </c>
      <c r="C213" s="30">
        <v>4.1100000000000003</v>
      </c>
      <c r="D213" s="30">
        <v>4.0599999999999996</v>
      </c>
      <c r="E213" s="30">
        <v>4.0199999999999996</v>
      </c>
      <c r="F213" s="30">
        <v>3.93</v>
      </c>
      <c r="G213" s="30">
        <v>3.89</v>
      </c>
      <c r="H213" s="30">
        <v>3.76</v>
      </c>
      <c r="I213" s="30">
        <v>3.58</v>
      </c>
      <c r="J213" s="30">
        <v>3.48</v>
      </c>
      <c r="K213" s="30">
        <v>3.49</v>
      </c>
      <c r="L213" s="30">
        <v>3.61</v>
      </c>
      <c r="M213" s="30">
        <v>3.79</v>
      </c>
      <c r="N213" s="30">
        <v>4.0199999999999996</v>
      </c>
      <c r="O213" s="30">
        <v>4.5599999999999996</v>
      </c>
      <c r="P213" s="30">
        <v>4.59</v>
      </c>
    </row>
    <row r="214" spans="2:16" x14ac:dyDescent="0.2">
      <c r="B214" s="29">
        <v>45957</v>
      </c>
      <c r="C214" s="30">
        <v>4.09</v>
      </c>
      <c r="D214" s="30">
        <v>4.03</v>
      </c>
      <c r="E214" s="30">
        <v>4</v>
      </c>
      <c r="F214" s="30">
        <v>3.89</v>
      </c>
      <c r="G214" s="30">
        <v>3.87</v>
      </c>
      <c r="H214" s="30">
        <v>3.73</v>
      </c>
      <c r="I214" s="30">
        <v>3.59</v>
      </c>
      <c r="J214" s="30">
        <v>3.48</v>
      </c>
      <c r="K214" s="30">
        <v>3.5</v>
      </c>
      <c r="L214" s="30">
        <v>3.61</v>
      </c>
      <c r="M214" s="30">
        <v>3.79</v>
      </c>
      <c r="N214" s="30">
        <v>4.01</v>
      </c>
      <c r="O214" s="30">
        <v>4.55</v>
      </c>
      <c r="P214" s="30">
        <v>4.57</v>
      </c>
    </row>
    <row r="215" spans="2:16" x14ac:dyDescent="0.2">
      <c r="B215" s="29">
        <v>45958</v>
      </c>
      <c r="C215" s="30">
        <v>4.07</v>
      </c>
      <c r="D215" s="30">
        <v>4.0199999999999996</v>
      </c>
      <c r="E215" s="30">
        <v>3.97</v>
      </c>
      <c r="F215" s="30">
        <v>3.89</v>
      </c>
      <c r="G215" s="30">
        <v>3.86</v>
      </c>
      <c r="H215" s="30">
        <v>3.72</v>
      </c>
      <c r="I215" s="30">
        <v>3.59</v>
      </c>
      <c r="J215" s="30">
        <v>3.47</v>
      </c>
      <c r="K215" s="30">
        <v>3.5</v>
      </c>
      <c r="L215" s="30">
        <v>3.6</v>
      </c>
      <c r="M215" s="30">
        <v>3.77</v>
      </c>
      <c r="N215" s="30">
        <v>3.99</v>
      </c>
      <c r="O215" s="30">
        <v>4.53</v>
      </c>
      <c r="P215" s="30">
        <v>4.55</v>
      </c>
    </row>
    <row r="216" spans="2:16" x14ac:dyDescent="0.2">
      <c r="B216" s="29">
        <v>45959</v>
      </c>
      <c r="C216" s="30">
        <v>4.03</v>
      </c>
      <c r="D216" s="30">
        <v>4.01</v>
      </c>
      <c r="E216" s="30">
        <v>3.99</v>
      </c>
      <c r="F216" s="30">
        <v>3.93</v>
      </c>
      <c r="G216" s="30">
        <v>3.86</v>
      </c>
      <c r="H216" s="30">
        <v>3.79</v>
      </c>
      <c r="I216" s="30">
        <v>3.7</v>
      </c>
      <c r="J216" s="30">
        <v>3.59</v>
      </c>
      <c r="K216" s="30">
        <v>3.6</v>
      </c>
      <c r="L216" s="30">
        <v>3.7</v>
      </c>
      <c r="M216" s="30">
        <v>3.87</v>
      </c>
      <c r="N216" s="30">
        <v>4.08</v>
      </c>
      <c r="O216" s="30">
        <v>4.59</v>
      </c>
      <c r="P216" s="30">
        <v>4.6100000000000003</v>
      </c>
    </row>
    <row r="217" spans="2:16" x14ac:dyDescent="0.2">
      <c r="B217" s="29">
        <v>45960</v>
      </c>
      <c r="C217" s="30">
        <v>4.05</v>
      </c>
      <c r="D217" s="30">
        <v>4.0199999999999996</v>
      </c>
      <c r="E217" s="30">
        <v>4.04</v>
      </c>
      <c r="F217" s="30">
        <v>3.92</v>
      </c>
      <c r="G217" s="30">
        <v>3.87</v>
      </c>
      <c r="H217" s="30">
        <v>3.79</v>
      </c>
      <c r="I217" s="30">
        <v>3.7</v>
      </c>
      <c r="J217" s="30">
        <v>3.61</v>
      </c>
      <c r="K217" s="30">
        <v>3.61</v>
      </c>
      <c r="L217" s="30">
        <v>3.72</v>
      </c>
      <c r="M217" s="30">
        <v>3.9</v>
      </c>
      <c r="N217" s="30">
        <v>4.1100000000000003</v>
      </c>
      <c r="O217" s="30">
        <v>4.6399999999999997</v>
      </c>
      <c r="P217" s="30">
        <v>4.6500000000000004</v>
      </c>
    </row>
    <row r="218" spans="2:16" x14ac:dyDescent="0.2">
      <c r="B218" s="29">
        <v>45961</v>
      </c>
      <c r="C218" s="30">
        <v>4.0599999999999996</v>
      </c>
      <c r="D218" s="30">
        <v>4.0199999999999996</v>
      </c>
      <c r="E218" s="30">
        <v>4.04</v>
      </c>
      <c r="F218" s="30">
        <v>3.89</v>
      </c>
      <c r="G218" s="30">
        <v>3.87</v>
      </c>
      <c r="H218" s="30">
        <v>3.79</v>
      </c>
      <c r="I218" s="30">
        <v>3.7</v>
      </c>
      <c r="J218" s="30">
        <v>3.6</v>
      </c>
      <c r="K218" s="30">
        <v>3.6</v>
      </c>
      <c r="L218" s="30">
        <v>3.71</v>
      </c>
      <c r="M218" s="30">
        <v>3.89</v>
      </c>
      <c r="N218" s="30">
        <v>4.1100000000000003</v>
      </c>
      <c r="O218" s="30">
        <v>4.6500000000000004</v>
      </c>
      <c r="P218" s="30">
        <v>4.67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8554-9752-424C-9C04-CD93820547C8}">
  <dimension ref="A10:V38"/>
  <sheetViews>
    <sheetView tabSelected="1" zoomScale="86" workbookViewId="0">
      <selection activeCell="L9" sqref="L9"/>
    </sheetView>
  </sheetViews>
  <sheetFormatPr baseColWidth="10" defaultRowHeight="15" x14ac:dyDescent="0.2"/>
  <cols>
    <col min="1" max="1" width="16.5" style="1" bestFit="1" customWidth="1"/>
    <col min="2" max="2" width="8.5" style="1" bestFit="1" customWidth="1"/>
    <col min="3" max="3" width="14.83203125" style="1" bestFit="1" customWidth="1"/>
    <col min="4" max="4" width="16" style="1" bestFit="1" customWidth="1"/>
    <col min="5" max="5" width="12.33203125" style="1" bestFit="1" customWidth="1"/>
    <col min="6" max="16384" width="10.83203125" style="1"/>
  </cols>
  <sheetData>
    <row r="10" spans="1:5" ht="16" x14ac:dyDescent="0.2">
      <c r="A10" s="31" t="s">
        <v>83</v>
      </c>
      <c r="B10" s="31" t="s">
        <v>84</v>
      </c>
      <c r="C10" s="31" t="s">
        <v>86</v>
      </c>
      <c r="D10" s="31" t="s">
        <v>87</v>
      </c>
      <c r="E10" s="31"/>
    </row>
    <row r="11" spans="1:5" ht="16" x14ac:dyDescent="0.2">
      <c r="A11" s="31" t="s">
        <v>95</v>
      </c>
      <c r="B11" s="44">
        <f>DATE(2025,10,31)</f>
        <v>45961</v>
      </c>
      <c r="C11" s="31"/>
    </row>
    <row r="12" spans="1:5" ht="16" x14ac:dyDescent="0.2">
      <c r="A12" s="33" t="s">
        <v>67</v>
      </c>
      <c r="B12" s="34">
        <f>DATE(YEAR(B11),MONTH(B11)+1,DAY(B11))</f>
        <v>45992</v>
      </c>
      <c r="C12" s="31">
        <f>YEARFRAC($B$11,B12)</f>
        <v>8.611111111111111E-2</v>
      </c>
      <c r="D12" s="46">
        <v>4.0599999999999997E-2</v>
      </c>
    </row>
    <row r="13" spans="1:5" ht="16" x14ac:dyDescent="0.2">
      <c r="A13" s="33" t="s">
        <v>70</v>
      </c>
      <c r="B13" s="34">
        <f>DATE(YEAR(B11),MONTH(B11)+3,DAY(B11))</f>
        <v>46053</v>
      </c>
      <c r="C13" s="31">
        <f t="shared" ref="C13:C22" si="0">YEARFRAC($B$11,B13)</f>
        <v>0.25</v>
      </c>
      <c r="D13" s="46">
        <v>3.8900000000000004E-2</v>
      </c>
    </row>
    <row r="14" spans="1:5" ht="16" x14ac:dyDescent="0.2">
      <c r="A14" s="33" t="s">
        <v>72</v>
      </c>
      <c r="B14" s="32">
        <f>DATE(YEAR(B11),MONTH(B11)+6,DAY(B11))</f>
        <v>46143</v>
      </c>
      <c r="C14" s="31">
        <f t="shared" si="0"/>
        <v>0.50277777777777777</v>
      </c>
      <c r="D14" s="46">
        <v>3.7900000000000003E-2</v>
      </c>
    </row>
    <row r="15" spans="1:5" ht="16" x14ac:dyDescent="0.2">
      <c r="A15" s="33" t="s">
        <v>73</v>
      </c>
      <c r="B15" s="34">
        <f>DATE(YEAR(B11)+1,MONTH(B11),DAY(B11))</f>
        <v>46326</v>
      </c>
      <c r="C15" s="31">
        <f t="shared" si="0"/>
        <v>1</v>
      </c>
      <c r="D15" s="46">
        <v>3.7000000000000005E-2</v>
      </c>
    </row>
    <row r="16" spans="1:5" ht="16" x14ac:dyDescent="0.2">
      <c r="A16" s="33" t="s">
        <v>74</v>
      </c>
      <c r="B16" s="34">
        <f>DATE(YEAR(B11)+2,MONTH(B11),DAY(B11))</f>
        <v>46691</v>
      </c>
      <c r="C16" s="31">
        <f t="shared" si="0"/>
        <v>2</v>
      </c>
      <c r="D16" s="46">
        <v>3.6000000000000004E-2</v>
      </c>
    </row>
    <row r="17" spans="1:22" ht="16" x14ac:dyDescent="0.2">
      <c r="A17" s="33" t="s">
        <v>75</v>
      </c>
      <c r="B17" s="34">
        <f>DATE(YEAR(B11)+3,MONTH(B11),DAY(B11))</f>
        <v>47057</v>
      </c>
      <c r="C17" s="31">
        <f t="shared" si="0"/>
        <v>3</v>
      </c>
      <c r="D17" s="46">
        <v>3.6000000000000004E-2</v>
      </c>
    </row>
    <row r="18" spans="1:22" ht="16" x14ac:dyDescent="0.2">
      <c r="A18" s="33" t="s">
        <v>76</v>
      </c>
      <c r="B18" s="34">
        <f>DATE(YEAR(B11)+5,MONTH(B11),DAY(B11))</f>
        <v>47787</v>
      </c>
      <c r="C18" s="31">
        <f t="shared" si="0"/>
        <v>5</v>
      </c>
      <c r="D18" s="46">
        <v>3.7100000000000001E-2</v>
      </c>
    </row>
    <row r="19" spans="1:22" ht="16" x14ac:dyDescent="0.2">
      <c r="A19" s="33" t="s">
        <v>77</v>
      </c>
      <c r="B19" s="34">
        <f>DATE(YEAR(B11)+7,MONTH(B11),DAY(B11))</f>
        <v>48518</v>
      </c>
      <c r="C19" s="31">
        <f t="shared" si="0"/>
        <v>7</v>
      </c>
      <c r="D19" s="46">
        <v>3.8900000000000004E-2</v>
      </c>
    </row>
    <row r="20" spans="1:22" ht="16" x14ac:dyDescent="0.2">
      <c r="A20" s="33" t="s">
        <v>78</v>
      </c>
      <c r="B20" s="34">
        <f>DATE(YEAR(B11)+10,MONTH(B11),DAY(B11))</f>
        <v>49613</v>
      </c>
      <c r="C20" s="31">
        <f t="shared" si="0"/>
        <v>10</v>
      </c>
      <c r="D20" s="46">
        <v>4.1100000000000005E-2</v>
      </c>
    </row>
    <row r="21" spans="1:22" ht="16" x14ac:dyDescent="0.2">
      <c r="A21" s="33" t="s">
        <v>79</v>
      </c>
      <c r="B21" s="34">
        <f>DATE(YEAR(B11)+20,MONTH(B11),DAY(B11))</f>
        <v>53266</v>
      </c>
      <c r="C21" s="31">
        <f t="shared" si="0"/>
        <v>20</v>
      </c>
      <c r="D21" s="46">
        <v>4.6500000000000007E-2</v>
      </c>
    </row>
    <row r="22" spans="1:22" ht="16" x14ac:dyDescent="0.2">
      <c r="A22" s="33" t="s">
        <v>80</v>
      </c>
      <c r="B22" s="34">
        <f>DATE(YEAR(B11)+30,MONTH(B11),DAY(B11))</f>
        <v>56918</v>
      </c>
      <c r="C22" s="31">
        <f t="shared" si="0"/>
        <v>30</v>
      </c>
      <c r="D22" s="46">
        <v>4.6699999999999998E-2</v>
      </c>
    </row>
    <row r="23" spans="1:22" ht="16" x14ac:dyDescent="0.2">
      <c r="B23" s="34"/>
    </row>
    <row r="25" spans="1:22" ht="16" x14ac:dyDescent="0.2">
      <c r="A25" s="31" t="s">
        <v>8</v>
      </c>
      <c r="B25" s="1">
        <v>1000</v>
      </c>
    </row>
    <row r="26" spans="1:22" ht="16" x14ac:dyDescent="0.2">
      <c r="A26" s="31" t="s">
        <v>7</v>
      </c>
      <c r="B26" s="1">
        <v>10</v>
      </c>
    </row>
    <row r="27" spans="1:22" ht="16" x14ac:dyDescent="0.2">
      <c r="A27" s="31" t="s">
        <v>88</v>
      </c>
      <c r="B27" s="1">
        <v>2</v>
      </c>
    </row>
    <row r="28" spans="1:22" ht="16" x14ac:dyDescent="0.2">
      <c r="A28" s="31" t="s">
        <v>89</v>
      </c>
      <c r="B28" s="1">
        <v>20</v>
      </c>
    </row>
    <row r="29" spans="1:22" ht="16" x14ac:dyDescent="0.2">
      <c r="A29" s="31" t="s">
        <v>27</v>
      </c>
      <c r="B29" s="45">
        <v>4.5999999999999999E-2</v>
      </c>
    </row>
    <row r="30" spans="1:22" ht="16" x14ac:dyDescent="0.2">
      <c r="A30" s="31" t="s">
        <v>90</v>
      </c>
      <c r="B30" s="1">
        <f>B25*B29/B27</f>
        <v>23</v>
      </c>
    </row>
    <row r="32" spans="1:22" ht="16" x14ac:dyDescent="0.2">
      <c r="A32" s="31" t="s">
        <v>28</v>
      </c>
      <c r="B32" s="31">
        <v>0</v>
      </c>
      <c r="C32" s="31">
        <v>1</v>
      </c>
      <c r="D32" s="31">
        <v>2</v>
      </c>
      <c r="E32" s="31">
        <v>3</v>
      </c>
      <c r="F32" s="31">
        <v>4</v>
      </c>
      <c r="G32" s="31">
        <v>5</v>
      </c>
      <c r="H32" s="31">
        <v>6</v>
      </c>
      <c r="I32" s="31">
        <v>7</v>
      </c>
      <c r="J32" s="31">
        <v>8</v>
      </c>
      <c r="K32" s="31">
        <v>9</v>
      </c>
      <c r="L32" s="31">
        <v>10</v>
      </c>
      <c r="M32" s="31">
        <v>11</v>
      </c>
      <c r="N32" s="31">
        <v>12</v>
      </c>
      <c r="O32" s="31">
        <v>13</v>
      </c>
      <c r="P32" s="31">
        <v>14</v>
      </c>
      <c r="Q32" s="31">
        <v>15</v>
      </c>
      <c r="R32" s="31">
        <v>16</v>
      </c>
      <c r="S32" s="31">
        <v>17</v>
      </c>
      <c r="T32" s="31">
        <v>18</v>
      </c>
      <c r="U32" s="31">
        <v>19</v>
      </c>
      <c r="V32" s="31">
        <v>20</v>
      </c>
    </row>
    <row r="33" spans="1:22" s="22" customFormat="1" ht="16" x14ac:dyDescent="0.2">
      <c r="A33" s="48" t="s">
        <v>15</v>
      </c>
      <c r="B33" s="48">
        <v>0</v>
      </c>
      <c r="C33" s="48">
        <v>0.5</v>
      </c>
      <c r="D33" s="48">
        <v>1</v>
      </c>
      <c r="E33" s="48">
        <v>1.5</v>
      </c>
      <c r="F33" s="48">
        <v>2</v>
      </c>
      <c r="G33" s="48">
        <v>2.5</v>
      </c>
      <c r="H33" s="48">
        <v>3</v>
      </c>
      <c r="I33" s="48">
        <v>3.5</v>
      </c>
      <c r="J33" s="48">
        <v>4</v>
      </c>
      <c r="K33" s="48">
        <v>4.5</v>
      </c>
      <c r="L33" s="48">
        <v>5</v>
      </c>
      <c r="M33" s="48">
        <v>5.5</v>
      </c>
      <c r="N33" s="48">
        <v>6</v>
      </c>
      <c r="O33" s="48">
        <v>6.5</v>
      </c>
      <c r="P33" s="48">
        <v>7</v>
      </c>
      <c r="Q33" s="48">
        <v>7.5</v>
      </c>
      <c r="R33" s="48">
        <v>8</v>
      </c>
      <c r="S33" s="48">
        <v>8.5</v>
      </c>
      <c r="T33" s="48">
        <v>9</v>
      </c>
      <c r="U33" s="48">
        <v>9.5</v>
      </c>
      <c r="V33" s="48">
        <v>10</v>
      </c>
    </row>
    <row r="34" spans="1:22" ht="16" x14ac:dyDescent="0.2">
      <c r="A34" s="31" t="s">
        <v>91</v>
      </c>
      <c r="C34" s="47">
        <f>IF(C32&lt;$B$28,$B$30,$B$30+$B$25)</f>
        <v>23</v>
      </c>
      <c r="D34" s="47">
        <f t="shared" ref="D34:V34" si="1">IF(D32&lt;$B$28,$B$30,$B$30+$B$25)</f>
        <v>23</v>
      </c>
      <c r="E34" s="47">
        <f t="shared" si="1"/>
        <v>23</v>
      </c>
      <c r="F34" s="47">
        <f t="shared" si="1"/>
        <v>23</v>
      </c>
      <c r="G34" s="47">
        <f t="shared" si="1"/>
        <v>23</v>
      </c>
      <c r="H34" s="47">
        <f t="shared" si="1"/>
        <v>23</v>
      </c>
      <c r="I34" s="47">
        <f t="shared" si="1"/>
        <v>23</v>
      </c>
      <c r="J34" s="47">
        <f t="shared" si="1"/>
        <v>23</v>
      </c>
      <c r="K34" s="47">
        <f t="shared" si="1"/>
        <v>23</v>
      </c>
      <c r="L34" s="47">
        <f t="shared" si="1"/>
        <v>23</v>
      </c>
      <c r="M34" s="47">
        <f t="shared" si="1"/>
        <v>23</v>
      </c>
      <c r="N34" s="47">
        <f t="shared" si="1"/>
        <v>23</v>
      </c>
      <c r="O34" s="47">
        <f t="shared" si="1"/>
        <v>23</v>
      </c>
      <c r="P34" s="47">
        <f t="shared" si="1"/>
        <v>23</v>
      </c>
      <c r="Q34" s="47">
        <f t="shared" si="1"/>
        <v>23</v>
      </c>
      <c r="R34" s="47">
        <f t="shared" si="1"/>
        <v>23</v>
      </c>
      <c r="S34" s="47">
        <f t="shared" si="1"/>
        <v>23</v>
      </c>
      <c r="T34" s="47">
        <f t="shared" si="1"/>
        <v>23</v>
      </c>
      <c r="U34" s="47">
        <f t="shared" si="1"/>
        <v>23</v>
      </c>
      <c r="V34" s="47">
        <f t="shared" si="1"/>
        <v>1023</v>
      </c>
    </row>
    <row r="35" spans="1:22" x14ac:dyDescent="0.2">
      <c r="A35" s="1" t="s">
        <v>96</v>
      </c>
      <c r="C35" s="1">
        <f>D14</f>
        <v>3.7900000000000003E-2</v>
      </c>
      <c r="D35" s="1">
        <f>D15</f>
        <v>3.7000000000000005E-2</v>
      </c>
      <c r="E35" s="1">
        <f>(D35+F35)/2</f>
        <v>3.6500000000000005E-2</v>
      </c>
      <c r="F35" s="1">
        <f>D16</f>
        <v>3.6000000000000004E-2</v>
      </c>
      <c r="G35" s="1">
        <f>(F35+H35)/2</f>
        <v>3.6000000000000004E-2</v>
      </c>
      <c r="H35" s="1">
        <f>D17</f>
        <v>3.6000000000000004E-2</v>
      </c>
      <c r="I35" s="1">
        <f>(H35+J35)/2</f>
        <v>3.6275000000000002E-2</v>
      </c>
      <c r="J35" s="1">
        <f>(H35+L35)/2</f>
        <v>3.6549999999999999E-2</v>
      </c>
      <c r="K35" s="1">
        <f>(J35+L35)/2</f>
        <v>3.6824999999999997E-2</v>
      </c>
      <c r="L35" s="1">
        <f>D18</f>
        <v>3.7100000000000001E-2</v>
      </c>
      <c r="M35" s="1">
        <f>(L35+N35)/2</f>
        <v>3.755E-2</v>
      </c>
      <c r="N35" s="1">
        <f>(L35+P35)/2</f>
        <v>3.8000000000000006E-2</v>
      </c>
      <c r="O35" s="1">
        <f>(N35+P35)/2</f>
        <v>3.8450000000000005E-2</v>
      </c>
      <c r="P35" s="1">
        <f>D19</f>
        <v>3.8900000000000004E-2</v>
      </c>
      <c r="Q35" s="1">
        <f>(P35+R35)/2</f>
        <v>3.9225000000000003E-2</v>
      </c>
      <c r="R35" s="1">
        <f>(N35+V35)/2</f>
        <v>3.9550000000000002E-2</v>
      </c>
      <c r="S35" s="1">
        <f>(P35+V35)/2</f>
        <v>4.0000000000000008E-2</v>
      </c>
      <c r="T35" s="1">
        <f>(R35+V35)/2</f>
        <v>4.0325E-2</v>
      </c>
      <c r="U35" s="1">
        <f>(T35+V35)/2</f>
        <v>4.0712499999999999E-2</v>
      </c>
      <c r="V35" s="1">
        <f>D20</f>
        <v>4.1100000000000005E-2</v>
      </c>
    </row>
    <row r="36" spans="1:22" x14ac:dyDescent="0.2">
      <c r="A36" s="1" t="s">
        <v>17</v>
      </c>
      <c r="C36" s="5">
        <f>-PV(C35/$B$27,C32,0,C34)</f>
        <v>22.572255753471712</v>
      </c>
      <c r="D36" s="5">
        <f t="shared" ref="D36:V36" si="2">-PV(D35/$B$27,D32,0,D34)</f>
        <v>22.172045918307095</v>
      </c>
      <c r="E36" s="5">
        <f t="shared" si="2"/>
        <v>21.785351911645371</v>
      </c>
      <c r="F36" s="5">
        <f t="shared" si="2"/>
        <v>21.415919415979143</v>
      </c>
      <c r="G36" s="5">
        <f t="shared" si="2"/>
        <v>21.037248935146508</v>
      </c>
      <c r="H36" s="5">
        <f t="shared" si="2"/>
        <v>20.665274003090872</v>
      </c>
      <c r="I36" s="5">
        <f t="shared" si="2"/>
        <v>20.280693442217441</v>
      </c>
      <c r="J36" s="5">
        <f t="shared" si="2"/>
        <v>19.897897294418769</v>
      </c>
      <c r="K36" s="5">
        <f t="shared" si="2"/>
        <v>19.517057657375318</v>
      </c>
      <c r="L36" s="5">
        <f t="shared" si="2"/>
        <v>19.138341726543338</v>
      </c>
      <c r="M36" s="5">
        <f t="shared" si="2"/>
        <v>18.744193778031935</v>
      </c>
      <c r="N36" s="5">
        <f t="shared" si="2"/>
        <v>18.350065886555136</v>
      </c>
      <c r="O36" s="5">
        <f t="shared" si="2"/>
        <v>17.956304276054254</v>
      </c>
      <c r="P36" s="5">
        <f t="shared" si="2"/>
        <v>17.563247165095326</v>
      </c>
      <c r="Q36" s="5">
        <f t="shared" si="2"/>
        <v>17.187019498991539</v>
      </c>
      <c r="R36" s="5">
        <f t="shared" si="2"/>
        <v>16.813497396235832</v>
      </c>
      <c r="S36" s="5">
        <f t="shared" si="2"/>
        <v>16.42573893669352</v>
      </c>
      <c r="T36" s="5">
        <f t="shared" si="2"/>
        <v>16.057555812639706</v>
      </c>
      <c r="U36" s="5">
        <f t="shared" si="2"/>
        <v>15.683503484658624</v>
      </c>
      <c r="V36" s="5">
        <f t="shared" si="2"/>
        <v>681.06708632861262</v>
      </c>
    </row>
    <row r="37" spans="1:22" x14ac:dyDescent="0.2">
      <c r="A37" s="1" t="s">
        <v>97</v>
      </c>
      <c r="B37" s="5">
        <f>SUM(C36:V36)</f>
        <v>1044.3302986217641</v>
      </c>
    </row>
    <row r="38" spans="1:22" x14ac:dyDescent="0.2">
      <c r="A38" s="1" t="s">
        <v>93</v>
      </c>
      <c r="B38" s="45">
        <f>RATE(B28,B30,-B37,B25)*2</f>
        <v>4.0563066281252474E-2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Outline</vt:lpstr>
      <vt:lpstr>Bond Pricing</vt:lpstr>
      <vt:lpstr>Duration &amp; Convexity</vt:lpstr>
      <vt:lpstr>Immunization</vt:lpstr>
      <vt:lpstr>Yield Curve</vt:lpstr>
      <vt:lpstr>Yield Practice</vt:lpstr>
      <vt:lpstr>Assignment 7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2025-12-29T05:35:55Z</dcterms:modified>
</cp:coreProperties>
</file>