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nicole15/Downloads/"/>
    </mc:Choice>
  </mc:AlternateContent>
  <xr:revisionPtr revIDLastSave="0" documentId="13_ncr:1_{EF3AC50C-540D-D840-BFD0-3411911F3F21}" xr6:coauthVersionLast="47" xr6:coauthVersionMax="47" xr10:uidLastSave="{00000000-0000-0000-0000-000000000000}"/>
  <bookViews>
    <workbookView xWindow="0" yWindow="740" windowWidth="29400" windowHeight="17300" xr2:uid="{7083B0D1-C443-4B4F-AB61-161DE89DD33C}"/>
  </bookViews>
  <sheets>
    <sheet name="Vertical Analysis" sheetId="1" r:id="rId1"/>
    <sheet name="Horizontal Analysis" sheetId="2" r:id="rId2"/>
    <sheet name="Sales Breakdown" sheetId="3" r:id="rId3"/>
    <sheet name="Ratios" sheetId="4" r:id="rId4"/>
    <sheet name="Revenue Build" sheetId="5" r:id="rId5"/>
    <sheet name="Income Statement" sheetId="6" r:id="rId6"/>
    <sheet name="Balance Sheet" sheetId="7" r:id="rId7"/>
    <sheet name="Cash Flow" sheetId="8" r:id="rId8"/>
    <sheet name="Beta" sheetId="9" r:id="rId9"/>
    <sheet name="DCF" sheetId="14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D15" i="7"/>
  <c r="E15" i="7"/>
  <c r="F15" i="7"/>
  <c r="G15" i="7"/>
  <c r="H15" i="7"/>
  <c r="I15" i="7"/>
  <c r="J15" i="7"/>
  <c r="K15" i="7"/>
  <c r="K28" i="7" s="1"/>
  <c r="L15" i="7"/>
  <c r="C15" i="7"/>
  <c r="L28" i="7"/>
  <c r="I11" i="7"/>
  <c r="J11" i="7"/>
  <c r="K11" i="7"/>
  <c r="L11" i="7"/>
  <c r="H11" i="7"/>
  <c r="H57" i="7"/>
  <c r="I57" i="7"/>
  <c r="J57" i="7"/>
  <c r="K57" i="7"/>
  <c r="L57" i="7"/>
  <c r="G57" i="7"/>
  <c r="H55" i="7"/>
  <c r="I55" i="7"/>
  <c r="J55" i="7"/>
  <c r="K55" i="7"/>
  <c r="L55" i="7"/>
  <c r="I52" i="7"/>
  <c r="J52" i="7" s="1"/>
  <c r="K52" i="7" s="1"/>
  <c r="L52" i="7" s="1"/>
  <c r="H52" i="7"/>
  <c r="I51" i="7"/>
  <c r="J51" i="7"/>
  <c r="K51" i="7"/>
  <c r="L51" i="7"/>
  <c r="H51" i="7"/>
  <c r="D96" i="7"/>
  <c r="M96" i="7"/>
  <c r="E96" i="7"/>
  <c r="F96" i="7"/>
  <c r="G96" i="7"/>
  <c r="H47" i="7"/>
  <c r="I47" i="7"/>
  <c r="J47" i="7"/>
  <c r="K47" i="7"/>
  <c r="L47" i="7"/>
  <c r="G47" i="7"/>
  <c r="H45" i="7"/>
  <c r="I45" i="7"/>
  <c r="J45" i="7"/>
  <c r="K45" i="7"/>
  <c r="L45" i="7"/>
  <c r="G45" i="7"/>
  <c r="H44" i="7"/>
  <c r="H42" i="7"/>
  <c r="H28" i="7"/>
  <c r="I28" i="7"/>
  <c r="J28" i="7"/>
  <c r="C28" i="7"/>
  <c r="H26" i="7"/>
  <c r="I26" i="7"/>
  <c r="J26" i="7"/>
  <c r="K26" i="7"/>
  <c r="L26" i="7"/>
  <c r="G26" i="7"/>
  <c r="H25" i="7"/>
  <c r="I25" i="7"/>
  <c r="J25" i="7"/>
  <c r="K25" i="7"/>
  <c r="L25" i="7"/>
  <c r="I24" i="7"/>
  <c r="J24" i="7" s="1"/>
  <c r="K24" i="7" s="1"/>
  <c r="L24" i="7" s="1"/>
  <c r="H24" i="7"/>
  <c r="H23" i="7"/>
  <c r="D26" i="7"/>
  <c r="E26" i="7"/>
  <c r="F26" i="7"/>
  <c r="C26" i="7"/>
  <c r="H22" i="7"/>
  <c r="I22" i="7"/>
  <c r="J22" i="7"/>
  <c r="K22" i="7"/>
  <c r="L22" i="7"/>
  <c r="I21" i="7"/>
  <c r="J21" i="7" s="1"/>
  <c r="K21" i="7" s="1"/>
  <c r="L21" i="7" s="1"/>
  <c r="H21" i="7"/>
  <c r="C95" i="7"/>
  <c r="G22" i="7"/>
  <c r="F22" i="7"/>
  <c r="E22" i="7"/>
  <c r="D22" i="7"/>
  <c r="H19" i="7"/>
  <c r="I19" i="7" s="1"/>
  <c r="J19" i="7" s="1"/>
  <c r="K19" i="7" s="1"/>
  <c r="L19" i="7" s="1"/>
  <c r="H18" i="7"/>
  <c r="I18" i="7" s="1"/>
  <c r="J18" i="7" s="1"/>
  <c r="K18" i="7" s="1"/>
  <c r="L18" i="7" s="1"/>
  <c r="I42" i="6"/>
  <c r="J42" i="6"/>
  <c r="K42" i="6"/>
  <c r="L42" i="6"/>
  <c r="H42" i="6"/>
  <c r="I41" i="6"/>
  <c r="J41" i="6"/>
  <c r="K41" i="6"/>
  <c r="L41" i="6"/>
  <c r="H41" i="6"/>
  <c r="I39" i="6"/>
  <c r="J39" i="6"/>
  <c r="K39" i="6"/>
  <c r="L39" i="6"/>
  <c r="H39" i="6"/>
  <c r="I37" i="6"/>
  <c r="J37" i="6"/>
  <c r="K37" i="6"/>
  <c r="L37" i="6"/>
  <c r="H37" i="6"/>
  <c r="D34" i="6"/>
  <c r="E34" i="6"/>
  <c r="F34" i="6"/>
  <c r="G34" i="6"/>
  <c r="H34" i="6"/>
  <c r="I34" i="6"/>
  <c r="J34" i="6"/>
  <c r="K34" i="6"/>
  <c r="L34" i="6"/>
  <c r="C34" i="6"/>
  <c r="D32" i="6"/>
  <c r="E32" i="6"/>
  <c r="F32" i="6"/>
  <c r="G32" i="6"/>
  <c r="H32" i="6"/>
  <c r="I32" i="6"/>
  <c r="J32" i="6"/>
  <c r="K32" i="6"/>
  <c r="L32" i="6"/>
  <c r="C32" i="6"/>
  <c r="I26" i="6"/>
  <c r="J26" i="6"/>
  <c r="K26" i="6"/>
  <c r="L26" i="6"/>
  <c r="H26" i="6"/>
  <c r="J31" i="6"/>
  <c r="K31" i="6"/>
  <c r="L31" i="6"/>
  <c r="I31" i="6"/>
  <c r="J74" i="6"/>
  <c r="K74" i="6"/>
  <c r="L74" i="6"/>
  <c r="I74" i="6"/>
  <c r="I75" i="6"/>
  <c r="J75" i="6"/>
  <c r="K75" i="6"/>
  <c r="L75" i="6"/>
  <c r="H75" i="6"/>
  <c r="H67" i="8"/>
  <c r="H47" i="8"/>
  <c r="I60" i="8"/>
  <c r="J60" i="8"/>
  <c r="K60" i="8"/>
  <c r="L60" i="8"/>
  <c r="H60" i="8"/>
  <c r="I59" i="8"/>
  <c r="J59" i="8"/>
  <c r="K59" i="8"/>
  <c r="L59" i="8"/>
  <c r="H59" i="8"/>
  <c r="I58" i="8"/>
  <c r="J58" i="8"/>
  <c r="K58" i="8"/>
  <c r="L58" i="8"/>
  <c r="H58" i="8"/>
  <c r="M81" i="8"/>
  <c r="H46" i="8"/>
  <c r="H36" i="8"/>
  <c r="H33" i="8"/>
  <c r="H32" i="8"/>
  <c r="D80" i="8"/>
  <c r="E80" i="8"/>
  <c r="F80" i="8"/>
  <c r="G80" i="8"/>
  <c r="C80" i="8"/>
  <c r="D79" i="8"/>
  <c r="E79" i="8"/>
  <c r="F79" i="8"/>
  <c r="G79" i="8"/>
  <c r="C79" i="8"/>
  <c r="H28" i="8"/>
  <c r="I27" i="8"/>
  <c r="J27" i="8"/>
  <c r="K27" i="8"/>
  <c r="L27" i="8"/>
  <c r="H27" i="8"/>
  <c r="C77" i="8"/>
  <c r="D77" i="8"/>
  <c r="E77" i="8"/>
  <c r="F77" i="8"/>
  <c r="G77" i="8"/>
  <c r="D11" i="14"/>
  <c r="E11" i="14"/>
  <c r="F11" i="14"/>
  <c r="G11" i="14"/>
  <c r="C12" i="14"/>
  <c r="D12" i="14"/>
  <c r="E12" i="14"/>
  <c r="F12" i="14"/>
  <c r="F13" i="14" s="1"/>
  <c r="G12" i="14"/>
  <c r="G13" i="14" s="1"/>
  <c r="C14" i="14"/>
  <c r="C15" i="14" s="1"/>
  <c r="D14" i="14"/>
  <c r="D15" i="14" s="1"/>
  <c r="E14" i="14"/>
  <c r="E15" i="14" s="1"/>
  <c r="F14" i="14"/>
  <c r="F15" i="14" s="1"/>
  <c r="G14" i="14"/>
  <c r="G15" i="14" s="1"/>
  <c r="I40" i="8"/>
  <c r="I47" i="8" s="1"/>
  <c r="J40" i="8"/>
  <c r="J47" i="8" s="1"/>
  <c r="K40" i="8"/>
  <c r="K47" i="8" s="1"/>
  <c r="L40" i="8"/>
  <c r="L47" i="8" s="1"/>
  <c r="H40" i="8"/>
  <c r="D41" i="8"/>
  <c r="E41" i="8"/>
  <c r="F41" i="8"/>
  <c r="G41" i="8"/>
  <c r="C41" i="8"/>
  <c r="K51" i="14"/>
  <c r="K49" i="14"/>
  <c r="K33" i="14"/>
  <c r="K47" i="14" s="1"/>
  <c r="K14" i="14"/>
  <c r="M45" i="6"/>
  <c r="D3" i="9" a="1"/>
  <c r="A3" i="9" a="1"/>
  <c r="C13" i="9" l="1"/>
  <c r="C21" i="9"/>
  <c r="C29" i="9"/>
  <c r="C37" i="9"/>
  <c r="C45" i="9"/>
  <c r="C53" i="9"/>
  <c r="C61" i="9"/>
  <c r="C69" i="9"/>
  <c r="C77" i="9"/>
  <c r="C85" i="9"/>
  <c r="C93" i="9"/>
  <c r="C101" i="9"/>
  <c r="C109" i="9"/>
  <c r="C117" i="9"/>
  <c r="C125" i="9"/>
  <c r="C133" i="9"/>
  <c r="C141" i="9"/>
  <c r="C149" i="9"/>
  <c r="C157" i="9"/>
  <c r="C165" i="9"/>
  <c r="C173" i="9"/>
  <c r="C181" i="9"/>
  <c r="C189" i="9"/>
  <c r="C197" i="9"/>
  <c r="C205" i="9"/>
  <c r="C213" i="9"/>
  <c r="C221" i="9"/>
  <c r="C229" i="9"/>
  <c r="C237" i="9"/>
  <c r="C245" i="9"/>
  <c r="C253" i="9"/>
  <c r="C261" i="9"/>
  <c r="C7" i="9"/>
  <c r="C15" i="9"/>
  <c r="C23" i="9"/>
  <c r="C31" i="9"/>
  <c r="C39" i="9"/>
  <c r="C47" i="9"/>
  <c r="C55" i="9"/>
  <c r="C63" i="9"/>
  <c r="C71" i="9"/>
  <c r="C79" i="9"/>
  <c r="C87" i="9"/>
  <c r="C95" i="9"/>
  <c r="C103" i="9"/>
  <c r="C111" i="9"/>
  <c r="C119" i="9"/>
  <c r="C127" i="9"/>
  <c r="C135" i="9"/>
  <c r="C143" i="9"/>
  <c r="C151" i="9"/>
  <c r="C159" i="9"/>
  <c r="C167" i="9"/>
  <c r="C175" i="9"/>
  <c r="C183" i="9"/>
  <c r="C191" i="9"/>
  <c r="C199" i="9"/>
  <c r="C207" i="9"/>
  <c r="C215" i="9"/>
  <c r="C223" i="9"/>
  <c r="C231" i="9"/>
  <c r="C239" i="9"/>
  <c r="C247" i="9"/>
  <c r="C255" i="9"/>
  <c r="C263" i="9"/>
  <c r="C9" i="9"/>
  <c r="C17" i="9"/>
  <c r="C25" i="9"/>
  <c r="C33" i="9"/>
  <c r="C41" i="9"/>
  <c r="C49" i="9"/>
  <c r="C57" i="9"/>
  <c r="C65" i="9"/>
  <c r="C73" i="9"/>
  <c r="C81" i="9"/>
  <c r="C89" i="9"/>
  <c r="C97" i="9"/>
  <c r="C105" i="9"/>
  <c r="C113" i="9"/>
  <c r="C121" i="9"/>
  <c r="C129" i="9"/>
  <c r="C137" i="9"/>
  <c r="C145" i="9"/>
  <c r="C153" i="9"/>
  <c r="C161" i="9"/>
  <c r="C169" i="9"/>
  <c r="C177" i="9"/>
  <c r="C185" i="9"/>
  <c r="C193" i="9"/>
  <c r="C201" i="9"/>
  <c r="C209" i="9"/>
  <c r="C217" i="9"/>
  <c r="C225" i="9"/>
  <c r="C233" i="9"/>
  <c r="C241" i="9"/>
  <c r="C249" i="9"/>
  <c r="C257" i="9"/>
  <c r="C265" i="9"/>
  <c r="C18" i="9"/>
  <c r="C30" i="9"/>
  <c r="C43" i="9"/>
  <c r="C56" i="9"/>
  <c r="C68" i="9"/>
  <c r="C82" i="9"/>
  <c r="C94" i="9"/>
  <c r="C107" i="9"/>
  <c r="C120" i="9"/>
  <c r="C132" i="9"/>
  <c r="C146" i="9"/>
  <c r="C158" i="9"/>
  <c r="C171" i="9"/>
  <c r="C184" i="9"/>
  <c r="C196" i="9"/>
  <c r="C210" i="9"/>
  <c r="C222" i="9"/>
  <c r="C235" i="9"/>
  <c r="C248" i="9"/>
  <c r="C260" i="9"/>
  <c r="C6" i="9"/>
  <c r="C19" i="9"/>
  <c r="C32" i="9"/>
  <c r="C44" i="9"/>
  <c r="C58" i="9"/>
  <c r="C70" i="9"/>
  <c r="C83" i="9"/>
  <c r="C96" i="9"/>
  <c r="C108" i="9"/>
  <c r="C122" i="9"/>
  <c r="C134" i="9"/>
  <c r="C147" i="9"/>
  <c r="C160" i="9"/>
  <c r="C172" i="9"/>
  <c r="C186" i="9"/>
  <c r="C198" i="9"/>
  <c r="C224" i="9"/>
  <c r="C236" i="9"/>
  <c r="C250" i="9"/>
  <c r="C262" i="9"/>
  <c r="C20" i="9"/>
  <c r="C46" i="9"/>
  <c r="C59" i="9"/>
  <c r="C84" i="9"/>
  <c r="C123" i="9"/>
  <c r="C148" i="9"/>
  <c r="C187" i="9"/>
  <c r="C226" i="9"/>
  <c r="C22" i="9"/>
  <c r="C60" i="9"/>
  <c r="C99" i="9"/>
  <c r="C124" i="9"/>
  <c r="C163" i="9"/>
  <c r="C211" i="9"/>
  <c r="C98" i="9"/>
  <c r="C162" i="9"/>
  <c r="C200" i="9"/>
  <c r="C238" i="9"/>
  <c r="C264" i="9"/>
  <c r="C35" i="9"/>
  <c r="C74" i="9"/>
  <c r="C112" i="9"/>
  <c r="C150" i="9"/>
  <c r="C176" i="9"/>
  <c r="C8" i="9"/>
  <c r="C34" i="9"/>
  <c r="C72" i="9"/>
  <c r="C110" i="9"/>
  <c r="C136" i="9"/>
  <c r="C174" i="9"/>
  <c r="C212" i="9"/>
  <c r="C251" i="9"/>
  <c r="C10" i="9"/>
  <c r="C48" i="9"/>
  <c r="C86" i="9"/>
  <c r="C138" i="9"/>
  <c r="C188" i="9"/>
  <c r="C14" i="9"/>
  <c r="C27" i="9"/>
  <c r="C40" i="9"/>
  <c r="C52" i="9"/>
  <c r="C66" i="9"/>
  <c r="C78" i="9"/>
  <c r="C91" i="9"/>
  <c r="C104" i="9"/>
  <c r="C116" i="9"/>
  <c r="C130" i="9"/>
  <c r="C142" i="9"/>
  <c r="C155" i="9"/>
  <c r="C168" i="9"/>
  <c r="C180" i="9"/>
  <c r="C194" i="9"/>
  <c r="C206" i="9"/>
  <c r="C219" i="9"/>
  <c r="C232" i="9"/>
  <c r="C244" i="9"/>
  <c r="C258" i="9"/>
  <c r="C16" i="9"/>
  <c r="C12" i="9"/>
  <c r="C51" i="9"/>
  <c r="C88" i="9"/>
  <c r="C118" i="9"/>
  <c r="C154" i="9"/>
  <c r="C190" i="9"/>
  <c r="C216" i="9"/>
  <c r="C242" i="9"/>
  <c r="C24" i="9"/>
  <c r="C54" i="9"/>
  <c r="C90" i="9"/>
  <c r="C126" i="9"/>
  <c r="C156" i="9"/>
  <c r="C192" i="9"/>
  <c r="C218" i="9"/>
  <c r="C243" i="9"/>
  <c r="C26" i="9"/>
  <c r="C62" i="9"/>
  <c r="C92" i="9"/>
  <c r="C128" i="9"/>
  <c r="C164" i="9"/>
  <c r="C195" i="9"/>
  <c r="C220" i="9"/>
  <c r="C246" i="9"/>
  <c r="C28" i="9"/>
  <c r="C64" i="9"/>
  <c r="C100" i="9"/>
  <c r="C131" i="9"/>
  <c r="C166" i="9"/>
  <c r="C202" i="9"/>
  <c r="C227" i="9"/>
  <c r="C252" i="9"/>
  <c r="C36" i="9"/>
  <c r="C67" i="9"/>
  <c r="C102" i="9"/>
  <c r="C139" i="9"/>
  <c r="C170" i="9"/>
  <c r="C203" i="9"/>
  <c r="C228" i="9"/>
  <c r="C254" i="9"/>
  <c r="C38" i="9"/>
  <c r="C75" i="9"/>
  <c r="C106" i="9"/>
  <c r="C140" i="9"/>
  <c r="C178" i="9"/>
  <c r="C204" i="9"/>
  <c r="C230" i="9"/>
  <c r="C256" i="9"/>
  <c r="C144" i="9"/>
  <c r="C179" i="9"/>
  <c r="C234" i="9"/>
  <c r="C259" i="9"/>
  <c r="C50" i="9"/>
  <c r="C115" i="9"/>
  <c r="C182" i="9"/>
  <c r="C240" i="9"/>
  <c r="C42" i="9"/>
  <c r="C76" i="9"/>
  <c r="C114" i="9"/>
  <c r="C208" i="9"/>
  <c r="C11" i="9"/>
  <c r="C80" i="9"/>
  <c r="C152" i="9"/>
  <c r="C214" i="9"/>
  <c r="C5" i="9"/>
  <c r="F10" i="9"/>
  <c r="F18" i="9"/>
  <c r="F26" i="9"/>
  <c r="F34" i="9"/>
  <c r="F42" i="9"/>
  <c r="F50" i="9"/>
  <c r="F58" i="9"/>
  <c r="F66" i="9"/>
  <c r="F74" i="9"/>
  <c r="F82" i="9"/>
  <c r="F90" i="9"/>
  <c r="F98" i="9"/>
  <c r="F106" i="9"/>
  <c r="F114" i="9"/>
  <c r="F122" i="9"/>
  <c r="F130" i="9"/>
  <c r="F138" i="9"/>
  <c r="F146" i="9"/>
  <c r="F154" i="9"/>
  <c r="F162" i="9"/>
  <c r="F170" i="9"/>
  <c r="F178" i="9"/>
  <c r="F186" i="9"/>
  <c r="F194" i="9"/>
  <c r="F202" i="9"/>
  <c r="F210" i="9"/>
  <c r="F218" i="9"/>
  <c r="F226" i="9"/>
  <c r="F234" i="9"/>
  <c r="F242" i="9"/>
  <c r="F250" i="9"/>
  <c r="F258" i="9"/>
  <c r="F5" i="9"/>
  <c r="F11" i="9"/>
  <c r="F12" i="9"/>
  <c r="F20" i="9"/>
  <c r="F28" i="9"/>
  <c r="F36" i="9"/>
  <c r="F44" i="9"/>
  <c r="F52" i="9"/>
  <c r="F60" i="9"/>
  <c r="F68" i="9"/>
  <c r="F76" i="9"/>
  <c r="F84" i="9"/>
  <c r="F92" i="9"/>
  <c r="F100" i="9"/>
  <c r="F108" i="9"/>
  <c r="F116" i="9"/>
  <c r="F124" i="9"/>
  <c r="F132" i="9"/>
  <c r="F140" i="9"/>
  <c r="F148" i="9"/>
  <c r="F156" i="9"/>
  <c r="F164" i="9"/>
  <c r="F172" i="9"/>
  <c r="F180" i="9"/>
  <c r="F188" i="9"/>
  <c r="F196" i="9"/>
  <c r="F204" i="9"/>
  <c r="F212" i="9"/>
  <c r="F220" i="9"/>
  <c r="F228" i="9"/>
  <c r="F236" i="9"/>
  <c r="F244" i="9"/>
  <c r="F252" i="9"/>
  <c r="F260" i="9"/>
  <c r="F13" i="9"/>
  <c r="F21" i="9"/>
  <c r="F29" i="9"/>
  <c r="F37" i="9"/>
  <c r="F45" i="9"/>
  <c r="F53" i="9"/>
  <c r="F61" i="9"/>
  <c r="F69" i="9"/>
  <c r="F77" i="9"/>
  <c r="F85" i="9"/>
  <c r="F93" i="9"/>
  <c r="F101" i="9"/>
  <c r="F109" i="9"/>
  <c r="F117" i="9"/>
  <c r="F125" i="9"/>
  <c r="F133" i="9"/>
  <c r="F141" i="9"/>
  <c r="F149" i="9"/>
  <c r="F157" i="9"/>
  <c r="F165" i="9"/>
  <c r="F6" i="9"/>
  <c r="F14" i="9"/>
  <c r="F22" i="9"/>
  <c r="F30" i="9"/>
  <c r="F38" i="9"/>
  <c r="F46" i="9"/>
  <c r="F54" i="9"/>
  <c r="F62" i="9"/>
  <c r="F70" i="9"/>
  <c r="F78" i="9"/>
  <c r="F86" i="9"/>
  <c r="F94" i="9"/>
  <c r="F102" i="9"/>
  <c r="F110" i="9"/>
  <c r="F118" i="9"/>
  <c r="F126" i="9"/>
  <c r="F134" i="9"/>
  <c r="F142" i="9"/>
  <c r="F150" i="9"/>
  <c r="F158" i="9"/>
  <c r="F166" i="9"/>
  <c r="F174" i="9"/>
  <c r="F182" i="9"/>
  <c r="F190" i="9"/>
  <c r="F198" i="9"/>
  <c r="F206" i="9"/>
  <c r="F214" i="9"/>
  <c r="F222" i="9"/>
  <c r="F230" i="9"/>
  <c r="F238" i="9"/>
  <c r="F246" i="9"/>
  <c r="F254" i="9"/>
  <c r="F262" i="9"/>
  <c r="F15" i="9"/>
  <c r="F23" i="9"/>
  <c r="F31" i="9"/>
  <c r="F39" i="9"/>
  <c r="F47" i="9"/>
  <c r="F55" i="9"/>
  <c r="F63" i="9"/>
  <c r="F71" i="9"/>
  <c r="F79" i="9"/>
  <c r="F7" i="9"/>
  <c r="F8" i="9"/>
  <c r="F16" i="9"/>
  <c r="F24" i="9"/>
  <c r="F32" i="9"/>
  <c r="F40" i="9"/>
  <c r="F48" i="9"/>
  <c r="F56" i="9"/>
  <c r="F64" i="9"/>
  <c r="F72" i="9"/>
  <c r="F80" i="9"/>
  <c r="F88" i="9"/>
  <c r="F96" i="9"/>
  <c r="F104" i="9"/>
  <c r="F112" i="9"/>
  <c r="F120" i="9"/>
  <c r="F128" i="9"/>
  <c r="F136" i="9"/>
  <c r="F144" i="9"/>
  <c r="F152" i="9"/>
  <c r="F160" i="9"/>
  <c r="F168" i="9"/>
  <c r="F9" i="9"/>
  <c r="F35" i="9"/>
  <c r="F67" i="9"/>
  <c r="F95" i="9"/>
  <c r="F115" i="9"/>
  <c r="F137" i="9"/>
  <c r="F159" i="9"/>
  <c r="F176" i="9"/>
  <c r="F189" i="9"/>
  <c r="F201" i="9"/>
  <c r="F215" i="9"/>
  <c r="F227" i="9"/>
  <c r="F240" i="9"/>
  <c r="F253" i="9"/>
  <c r="F265" i="9"/>
  <c r="F41" i="9"/>
  <c r="F73" i="9"/>
  <c r="F97" i="9"/>
  <c r="F119" i="9"/>
  <c r="F139" i="9"/>
  <c r="F177" i="9"/>
  <c r="F191" i="9"/>
  <c r="F203" i="9"/>
  <c r="F216" i="9"/>
  <c r="F229" i="9"/>
  <c r="F241" i="9"/>
  <c r="F255" i="9"/>
  <c r="F205" i="9"/>
  <c r="F256" i="9"/>
  <c r="F81" i="9"/>
  <c r="F145" i="9"/>
  <c r="F207" i="9"/>
  <c r="F245" i="9"/>
  <c r="F161" i="9"/>
  <c r="F17" i="9"/>
  <c r="F123" i="9"/>
  <c r="F181" i="9"/>
  <c r="F219" i="9"/>
  <c r="F257" i="9"/>
  <c r="F43" i="9"/>
  <c r="F75" i="9"/>
  <c r="F99" i="9"/>
  <c r="F121" i="9"/>
  <c r="F143" i="9"/>
  <c r="F163" i="9"/>
  <c r="F179" i="9"/>
  <c r="F192" i="9"/>
  <c r="F217" i="9"/>
  <c r="F231" i="9"/>
  <c r="F243" i="9"/>
  <c r="F49" i="9"/>
  <c r="F103" i="9"/>
  <c r="F167" i="9"/>
  <c r="F193" i="9"/>
  <c r="F232" i="9"/>
  <c r="F27" i="9"/>
  <c r="F59" i="9"/>
  <c r="F89" i="9"/>
  <c r="F111" i="9"/>
  <c r="F131" i="9"/>
  <c r="F153" i="9"/>
  <c r="F173" i="9"/>
  <c r="F185" i="9"/>
  <c r="F199" i="9"/>
  <c r="F211" i="9"/>
  <c r="F224" i="9"/>
  <c r="F237" i="9"/>
  <c r="F249" i="9"/>
  <c r="F263" i="9"/>
  <c r="F33" i="9"/>
  <c r="F65" i="9"/>
  <c r="F91" i="9"/>
  <c r="F113" i="9"/>
  <c r="F135" i="9"/>
  <c r="F155" i="9"/>
  <c r="F175" i="9"/>
  <c r="F187" i="9"/>
  <c r="F200" i="9"/>
  <c r="F213" i="9"/>
  <c r="F225" i="9"/>
  <c r="F239" i="9"/>
  <c r="F251" i="9"/>
  <c r="F264" i="9"/>
  <c r="F87" i="9"/>
  <c r="F171" i="9"/>
  <c r="F223" i="9"/>
  <c r="F105" i="9"/>
  <c r="F183" i="9"/>
  <c r="F233" i="9"/>
  <c r="F107" i="9"/>
  <c r="F184" i="9"/>
  <c r="F235" i="9"/>
  <c r="F19" i="9"/>
  <c r="F127" i="9"/>
  <c r="F195" i="9"/>
  <c r="F247" i="9"/>
  <c r="F25" i="9"/>
  <c r="F129" i="9"/>
  <c r="F197" i="9"/>
  <c r="F248" i="9"/>
  <c r="F51" i="9"/>
  <c r="F147" i="9"/>
  <c r="F208" i="9"/>
  <c r="F259" i="9"/>
  <c r="F83" i="9"/>
  <c r="F221" i="9"/>
  <c r="F57" i="9"/>
  <c r="F151" i="9"/>
  <c r="F209" i="9"/>
  <c r="F261" i="9"/>
  <c r="F169" i="9"/>
  <c r="C33" i="14"/>
  <c r="L63" i="8"/>
  <c r="K63" i="8"/>
  <c r="H63" i="8"/>
  <c r="I63" i="8"/>
  <c r="J63" i="8"/>
  <c r="M79" i="8"/>
  <c r="M80" i="8"/>
  <c r="K31" i="8" s="1"/>
  <c r="M77" i="8"/>
  <c r="L18" i="8" s="1"/>
  <c r="F21" i="14"/>
  <c r="G21" i="14"/>
  <c r="E21" i="14"/>
  <c r="D21" i="14"/>
  <c r="C21" i="14"/>
  <c r="E13" i="14"/>
  <c r="D13" i="14"/>
  <c r="C13" i="14"/>
  <c r="K20" i="14"/>
  <c r="K15" i="14"/>
  <c r="K17" i="14"/>
  <c r="K19" i="14" s="1"/>
  <c r="D3" i="9"/>
  <c r="A3" i="9"/>
  <c r="G3" i="9" l="1"/>
  <c r="G22" i="14"/>
  <c r="C22" i="14"/>
  <c r="D22" i="14"/>
  <c r="E22" i="14"/>
  <c r="F22" i="14"/>
  <c r="J18" i="8"/>
  <c r="I18" i="8"/>
  <c r="J31" i="8"/>
  <c r="K18" i="8"/>
  <c r="H31" i="8"/>
  <c r="I31" i="8"/>
  <c r="H18" i="8"/>
  <c r="L31" i="8"/>
  <c r="K25" i="14"/>
  <c r="G24" i="14" s="1"/>
  <c r="C27" i="14" s="1"/>
  <c r="C28" i="14" s="1"/>
  <c r="I90" i="7"/>
  <c r="J90" i="7"/>
  <c r="K90" i="7"/>
  <c r="L90" i="7"/>
  <c r="H90" i="7"/>
  <c r="D92" i="7"/>
  <c r="D93" i="7" s="1"/>
  <c r="E92" i="7"/>
  <c r="E93" i="7" s="1"/>
  <c r="F92" i="7"/>
  <c r="F93" i="7" s="1"/>
  <c r="G92" i="7"/>
  <c r="G93" i="7" s="1"/>
  <c r="C92" i="7"/>
  <c r="C93" i="7" s="1"/>
  <c r="D86" i="7"/>
  <c r="E86" i="7"/>
  <c r="F86" i="7"/>
  <c r="G86" i="7"/>
  <c r="C86" i="7"/>
  <c r="J34" i="7" s="1"/>
  <c r="D82" i="7"/>
  <c r="E82" i="7"/>
  <c r="F82" i="7"/>
  <c r="G82" i="7"/>
  <c r="C82" i="7"/>
  <c r="G76" i="6"/>
  <c r="E75" i="6"/>
  <c r="E76" i="6" s="1"/>
  <c r="F75" i="6"/>
  <c r="F76" i="6" s="1"/>
  <c r="G75" i="6"/>
  <c r="D75" i="6"/>
  <c r="D76" i="6" s="1"/>
  <c r="H77" i="7"/>
  <c r="I32" i="7" s="1"/>
  <c r="H12" i="7"/>
  <c r="H25" i="8" s="1"/>
  <c r="I12" i="7"/>
  <c r="I25" i="8" s="1"/>
  <c r="J12" i="7"/>
  <c r="K12" i="7"/>
  <c r="L12" i="7"/>
  <c r="H76" i="7"/>
  <c r="J13" i="7" s="1"/>
  <c r="H75" i="7"/>
  <c r="D68" i="6"/>
  <c r="E68" i="6"/>
  <c r="F68" i="6"/>
  <c r="G68" i="6"/>
  <c r="C68" i="6"/>
  <c r="H62" i="6"/>
  <c r="H30" i="6" s="1"/>
  <c r="H61" i="6"/>
  <c r="G55" i="7"/>
  <c r="F55" i="7"/>
  <c r="E55" i="7"/>
  <c r="D55" i="7"/>
  <c r="C55" i="7"/>
  <c r="E45" i="7"/>
  <c r="F45" i="7"/>
  <c r="D45" i="7"/>
  <c r="C45" i="7"/>
  <c r="G38" i="7"/>
  <c r="D38" i="7"/>
  <c r="E38" i="7"/>
  <c r="F38" i="7"/>
  <c r="C38" i="7"/>
  <c r="G25" i="7"/>
  <c r="F25" i="7"/>
  <c r="E25" i="7"/>
  <c r="D25" i="7"/>
  <c r="C25" i="7"/>
  <c r="I18" i="6"/>
  <c r="J18" i="6"/>
  <c r="K18" i="6"/>
  <c r="L18" i="6"/>
  <c r="H18" i="6"/>
  <c r="I16" i="6"/>
  <c r="J16" i="6"/>
  <c r="K16" i="6"/>
  <c r="L16" i="6"/>
  <c r="H16" i="6"/>
  <c r="I15" i="6"/>
  <c r="J15" i="6"/>
  <c r="K15" i="6"/>
  <c r="L15" i="6"/>
  <c r="H15" i="6"/>
  <c r="I14" i="6"/>
  <c r="I30" i="8" s="1"/>
  <c r="J14" i="6"/>
  <c r="J30" i="8" s="1"/>
  <c r="K14" i="6"/>
  <c r="K30" i="8" s="1"/>
  <c r="L14" i="6"/>
  <c r="L30" i="8" s="1"/>
  <c r="H14" i="6"/>
  <c r="H30" i="8" s="1"/>
  <c r="K10" i="6"/>
  <c r="K12" i="6" s="1"/>
  <c r="I10" i="6"/>
  <c r="I12" i="6" s="1"/>
  <c r="J10" i="6"/>
  <c r="J12" i="6" s="1"/>
  <c r="L10" i="6"/>
  <c r="L12" i="6" s="1"/>
  <c r="H10" i="6"/>
  <c r="H12" i="6" s="1"/>
  <c r="D11" i="6"/>
  <c r="E11" i="6"/>
  <c r="F11" i="6"/>
  <c r="G11" i="6"/>
  <c r="C11" i="6"/>
  <c r="I12" i="5"/>
  <c r="J12" i="5" s="1"/>
  <c r="K12" i="5" s="1"/>
  <c r="L12" i="5" s="1"/>
  <c r="H10" i="5"/>
  <c r="H11" i="5" s="1"/>
  <c r="H8" i="5"/>
  <c r="M7" i="5"/>
  <c r="M17" i="5"/>
  <c r="H17" i="5" s="1"/>
  <c r="C20" i="5"/>
  <c r="D19" i="6"/>
  <c r="D21" i="6" s="1"/>
  <c r="D24" i="6" s="1"/>
  <c r="E19" i="6"/>
  <c r="E21" i="6" s="1"/>
  <c r="E24" i="6" s="1"/>
  <c r="F19" i="6"/>
  <c r="F21" i="6" s="1"/>
  <c r="F24" i="6" s="1"/>
  <c r="G19" i="6"/>
  <c r="G21" i="6" s="1"/>
  <c r="G24" i="6" s="1"/>
  <c r="C19" i="6"/>
  <c r="C21" i="6" s="1"/>
  <c r="C24" i="6" s="1"/>
  <c r="E24" i="14" l="1"/>
  <c r="D24" i="14"/>
  <c r="C24" i="14"/>
  <c r="F24" i="14"/>
  <c r="C26" i="14" s="1"/>
  <c r="C29" i="14" s="1"/>
  <c r="H82" i="7"/>
  <c r="J25" i="8"/>
  <c r="M93" i="7"/>
  <c r="D60" i="7"/>
  <c r="K25" i="8"/>
  <c r="G60" i="7"/>
  <c r="K34" i="7"/>
  <c r="F60" i="7"/>
  <c r="L34" i="7"/>
  <c r="E60" i="7"/>
  <c r="L25" i="8"/>
  <c r="H34" i="7"/>
  <c r="L13" i="7"/>
  <c r="I33" i="7"/>
  <c r="L33" i="7"/>
  <c r="H33" i="7"/>
  <c r="J33" i="7"/>
  <c r="K33" i="7"/>
  <c r="K13" i="7"/>
  <c r="K26" i="8" s="1"/>
  <c r="H13" i="7"/>
  <c r="I34" i="7"/>
  <c r="H32" i="7"/>
  <c r="I13" i="7"/>
  <c r="J26" i="8" s="1"/>
  <c r="J32" i="7"/>
  <c r="L32" i="7"/>
  <c r="C60" i="7"/>
  <c r="K32" i="7"/>
  <c r="K20" i="5"/>
  <c r="I17" i="5"/>
  <c r="H20" i="5"/>
  <c r="H76" i="6"/>
  <c r="H74" i="6" s="1"/>
  <c r="H31" i="6" s="1"/>
  <c r="H68" i="6"/>
  <c r="H23" i="6" s="1"/>
  <c r="L19" i="6"/>
  <c r="L30" i="6"/>
  <c r="K19" i="6"/>
  <c r="K21" i="6" s="1"/>
  <c r="K30" i="6"/>
  <c r="J19" i="6"/>
  <c r="J21" i="6" s="1"/>
  <c r="J30" i="6"/>
  <c r="I30" i="6"/>
  <c r="H19" i="6"/>
  <c r="H21" i="6" s="1"/>
  <c r="H36" i="6" s="1"/>
  <c r="D47" i="7"/>
  <c r="D57" i="7" s="1"/>
  <c r="L21" i="6"/>
  <c r="I19" i="6"/>
  <c r="I21" i="6" s="1"/>
  <c r="J23" i="6"/>
  <c r="E47" i="7"/>
  <c r="E57" i="7" s="1"/>
  <c r="C47" i="7"/>
  <c r="C57" i="7" s="1"/>
  <c r="F47" i="7"/>
  <c r="F57" i="7" s="1"/>
  <c r="G28" i="7"/>
  <c r="F28" i="7"/>
  <c r="E28" i="7"/>
  <c r="D28" i="7"/>
  <c r="K10" i="5"/>
  <c r="L20" i="5"/>
  <c r="L10" i="5"/>
  <c r="I10" i="5"/>
  <c r="I11" i="5" s="1"/>
  <c r="I20" i="5"/>
  <c r="J20" i="5"/>
  <c r="J10" i="5"/>
  <c r="L13" i="5"/>
  <c r="K13" i="5"/>
  <c r="J13" i="5"/>
  <c r="I13" i="5"/>
  <c r="H13" i="5"/>
  <c r="C37" i="14" l="1"/>
  <c r="C40" i="14" s="1"/>
  <c r="C42" i="14" s="1"/>
  <c r="C30" i="14"/>
  <c r="G61" i="7"/>
  <c r="G62" i="7" s="1"/>
  <c r="D61" i="7"/>
  <c r="D62" i="7" s="1"/>
  <c r="E61" i="7"/>
  <c r="E62" i="7" s="1"/>
  <c r="L26" i="8"/>
  <c r="F61" i="7"/>
  <c r="F62" i="7" s="1"/>
  <c r="I38" i="7"/>
  <c r="H29" i="8"/>
  <c r="H38" i="7"/>
  <c r="L29" i="8"/>
  <c r="L38" i="7"/>
  <c r="L60" i="7" s="1"/>
  <c r="J29" i="8"/>
  <c r="J37" i="8" s="1"/>
  <c r="J64" i="8" s="1"/>
  <c r="J66" i="8" s="1"/>
  <c r="J38" i="7"/>
  <c r="J60" i="7" s="1"/>
  <c r="H26" i="8"/>
  <c r="I26" i="8"/>
  <c r="K29" i="8"/>
  <c r="K37" i="8" s="1"/>
  <c r="K64" i="8" s="1"/>
  <c r="K66" i="8" s="1"/>
  <c r="K38" i="7"/>
  <c r="I29" i="8"/>
  <c r="L11" i="5"/>
  <c r="J11" i="5"/>
  <c r="K23" i="6"/>
  <c r="K24" i="6" s="1"/>
  <c r="L23" i="6"/>
  <c r="L24" i="6" s="1"/>
  <c r="I22" i="6"/>
  <c r="I36" i="6"/>
  <c r="K36" i="6"/>
  <c r="K22" i="6"/>
  <c r="L22" i="6"/>
  <c r="L36" i="6"/>
  <c r="I23" i="6"/>
  <c r="I24" i="6" s="1"/>
  <c r="J22" i="6"/>
  <c r="J36" i="6"/>
  <c r="J24" i="6"/>
  <c r="H22" i="6"/>
  <c r="H24" i="6"/>
  <c r="K11" i="5"/>
  <c r="E25" i="5"/>
  <c r="F25" i="5"/>
  <c r="G25" i="5"/>
  <c r="D25" i="5"/>
  <c r="D57" i="2"/>
  <c r="K7" i="1"/>
  <c r="D20" i="5"/>
  <c r="D27" i="5" s="1"/>
  <c r="D28" i="5" s="1"/>
  <c r="E20" i="5"/>
  <c r="E27" i="5" s="1"/>
  <c r="E28" i="5" s="1"/>
  <c r="F20" i="5"/>
  <c r="G20" i="5"/>
  <c r="G27" i="5" s="1"/>
  <c r="G28" i="5" s="1"/>
  <c r="C27" i="5"/>
  <c r="C28" i="5" s="1"/>
  <c r="G18" i="5"/>
  <c r="F18" i="5"/>
  <c r="E51" i="2"/>
  <c r="D51" i="2"/>
  <c r="E11" i="5"/>
  <c r="F11" i="5"/>
  <c r="G11" i="5"/>
  <c r="D11" i="5"/>
  <c r="E8" i="5"/>
  <c r="F8" i="5"/>
  <c r="G8" i="5"/>
  <c r="I8" i="5"/>
  <c r="J8" i="5"/>
  <c r="K8" i="5"/>
  <c r="L8" i="5"/>
  <c r="D8" i="5"/>
  <c r="K16" i="2"/>
  <c r="K20" i="1"/>
  <c r="L20" i="1"/>
  <c r="M20" i="1"/>
  <c r="N20" i="1"/>
  <c r="J20" i="1"/>
  <c r="C29" i="1"/>
  <c r="L37" i="8" l="1"/>
  <c r="L64" i="8" s="1"/>
  <c r="L66" i="8" s="1"/>
  <c r="I37" i="8"/>
  <c r="I64" i="8" s="1"/>
  <c r="I66" i="8" s="1"/>
  <c r="H37" i="8"/>
  <c r="H64" i="8" s="1"/>
  <c r="H66" i="8" s="1"/>
  <c r="H68" i="8" s="1"/>
  <c r="I67" i="8" s="1"/>
  <c r="I60" i="7"/>
  <c r="J61" i="7" s="1"/>
  <c r="J62" i="7" s="1"/>
  <c r="H60" i="7"/>
  <c r="H61" i="7" s="1"/>
  <c r="H62" i="7" s="1"/>
  <c r="K60" i="7"/>
  <c r="K61" i="7" s="1"/>
  <c r="K62" i="7" s="1"/>
  <c r="F21" i="5"/>
  <c r="H23" i="5"/>
  <c r="H25" i="5" s="1"/>
  <c r="H21" i="5"/>
  <c r="H18" i="5"/>
  <c r="D21" i="5"/>
  <c r="E21" i="5"/>
  <c r="F27" i="5"/>
  <c r="F28" i="5" s="1"/>
  <c r="G21" i="5"/>
  <c r="L61" i="7" l="1"/>
  <c r="L62" i="7" s="1"/>
  <c r="I68" i="8"/>
  <c r="J67" i="8" s="1"/>
  <c r="J68" i="8" s="1"/>
  <c r="K67" i="8" s="1"/>
  <c r="K68" i="8" s="1"/>
  <c r="L67" i="8" s="1"/>
  <c r="L68" i="8" s="1"/>
  <c r="I61" i="7"/>
  <c r="I62" i="7" s="1"/>
  <c r="H27" i="5"/>
  <c r="H28" i="5" s="1"/>
  <c r="I18" i="5"/>
  <c r="J23" i="5" l="1"/>
  <c r="J27" i="5" s="1"/>
  <c r="J28" i="5" s="1"/>
  <c r="J21" i="5"/>
  <c r="I23" i="5"/>
  <c r="I25" i="5" s="1"/>
  <c r="I21" i="5"/>
  <c r="J18" i="5"/>
  <c r="I27" i="5" l="1"/>
  <c r="I28" i="5" s="1"/>
  <c r="L18" i="5"/>
  <c r="K18" i="5"/>
  <c r="J25" i="5"/>
  <c r="K23" i="5" l="1"/>
  <c r="K25" i="5" s="1"/>
  <c r="K21" i="5"/>
  <c r="K27" i="5" l="1"/>
  <c r="K28" i="5" s="1"/>
  <c r="L23" i="5"/>
  <c r="L25" i="5" s="1"/>
  <c r="L21" i="5"/>
  <c r="L27" i="5" l="1"/>
  <c r="L28" i="5" s="1"/>
  <c r="D29" i="1" l="1"/>
  <c r="D30" i="1" s="1"/>
  <c r="E29" i="1"/>
  <c r="E30" i="1" s="1"/>
  <c r="F29" i="1"/>
  <c r="F30" i="1" s="1"/>
  <c r="G29" i="1"/>
  <c r="G30" i="1" s="1"/>
  <c r="C30" i="1"/>
  <c r="J8" i="1"/>
  <c r="E7" i="4"/>
  <c r="E8" i="4"/>
  <c r="E9" i="4"/>
  <c r="E6" i="4"/>
  <c r="G58" i="3"/>
  <c r="G55" i="3" s="1"/>
  <c r="F58" i="3"/>
  <c r="F55" i="3" s="1"/>
  <c r="E58" i="3"/>
  <c r="E55" i="3" s="1"/>
  <c r="E65" i="3"/>
  <c r="F64" i="3" s="1"/>
  <c r="G49" i="3"/>
  <c r="G50" i="3"/>
  <c r="G51" i="3"/>
  <c r="G48" i="3"/>
  <c r="F49" i="3"/>
  <c r="F50" i="3"/>
  <c r="F51" i="3"/>
  <c r="F48" i="3"/>
  <c r="G37" i="3"/>
  <c r="G36" i="3"/>
  <c r="F37" i="3"/>
  <c r="F36" i="3"/>
  <c r="I25" i="3"/>
  <c r="I26" i="3"/>
  <c r="I27" i="3"/>
  <c r="I24" i="3"/>
  <c r="H25" i="3"/>
  <c r="H26" i="3"/>
  <c r="H27" i="3"/>
  <c r="H24" i="3"/>
  <c r="G27" i="3"/>
  <c r="G24" i="3"/>
  <c r="F27" i="3"/>
  <c r="F24" i="3"/>
  <c r="F12" i="3"/>
  <c r="I13" i="3"/>
  <c r="I12" i="3"/>
  <c r="H13" i="3"/>
  <c r="H12" i="3"/>
  <c r="G13" i="3"/>
  <c r="G12" i="3"/>
  <c r="F13" i="3"/>
  <c r="F54" i="3" l="1"/>
  <c r="F57" i="3"/>
  <c r="F56" i="3"/>
  <c r="E54" i="3"/>
  <c r="G54" i="3"/>
  <c r="E57" i="3"/>
  <c r="G57" i="3"/>
  <c r="E56" i="3"/>
  <c r="G56" i="3"/>
  <c r="F62" i="3"/>
  <c r="F63" i="3"/>
  <c r="G34" i="2" l="1"/>
  <c r="G35" i="2"/>
  <c r="G36" i="2"/>
  <c r="G37" i="2"/>
  <c r="G38" i="2"/>
  <c r="G40" i="2"/>
  <c r="G41" i="2"/>
  <c r="G42" i="2"/>
  <c r="G43" i="2"/>
  <c r="G44" i="2"/>
  <c r="G45" i="2"/>
  <c r="G46" i="2"/>
  <c r="G33" i="2"/>
  <c r="F34" i="2"/>
  <c r="F35" i="2"/>
  <c r="F36" i="2"/>
  <c r="F37" i="2"/>
  <c r="F38" i="2"/>
  <c r="F40" i="2"/>
  <c r="F41" i="2"/>
  <c r="F42" i="2"/>
  <c r="F43" i="2"/>
  <c r="F44" i="2"/>
  <c r="F45" i="2"/>
  <c r="F46" i="2"/>
  <c r="F33" i="2"/>
  <c r="E34" i="2"/>
  <c r="E35" i="2"/>
  <c r="E36" i="2"/>
  <c r="E37" i="2"/>
  <c r="E38" i="2"/>
  <c r="E40" i="2"/>
  <c r="E41" i="2"/>
  <c r="E42" i="2"/>
  <c r="E43" i="2"/>
  <c r="E44" i="2"/>
  <c r="E45" i="2"/>
  <c r="E46" i="2"/>
  <c r="E33" i="2"/>
  <c r="D34" i="2"/>
  <c r="D35" i="2"/>
  <c r="D36" i="2"/>
  <c r="D37" i="2"/>
  <c r="D38" i="2"/>
  <c r="D40" i="2"/>
  <c r="D41" i="2"/>
  <c r="D42" i="2"/>
  <c r="D43" i="2"/>
  <c r="D44" i="2"/>
  <c r="D45" i="2"/>
  <c r="D46" i="2"/>
  <c r="D33" i="2"/>
  <c r="N16" i="2"/>
  <c r="N17" i="2"/>
  <c r="N18" i="2"/>
  <c r="N19" i="2"/>
  <c r="N20" i="2"/>
  <c r="N22" i="2"/>
  <c r="N23" i="2"/>
  <c r="N24" i="2"/>
  <c r="N25" i="2"/>
  <c r="N26" i="2"/>
  <c r="N27" i="2"/>
  <c r="N28" i="2"/>
  <c r="N15" i="2"/>
  <c r="M16" i="2"/>
  <c r="M17" i="2"/>
  <c r="M18" i="2"/>
  <c r="M19" i="2"/>
  <c r="M20" i="2"/>
  <c r="M22" i="2"/>
  <c r="M23" i="2"/>
  <c r="M24" i="2"/>
  <c r="M25" i="2"/>
  <c r="M26" i="2"/>
  <c r="M27" i="2"/>
  <c r="M28" i="2"/>
  <c r="M15" i="2"/>
  <c r="L15" i="2"/>
  <c r="L16" i="2"/>
  <c r="L17" i="2"/>
  <c r="L18" i="2"/>
  <c r="L19" i="2"/>
  <c r="L20" i="2"/>
  <c r="L22" i="2"/>
  <c r="L23" i="2"/>
  <c r="L24" i="2"/>
  <c r="L25" i="2"/>
  <c r="L26" i="2"/>
  <c r="L27" i="2"/>
  <c r="L28" i="2"/>
  <c r="K17" i="2"/>
  <c r="K18" i="2"/>
  <c r="K19" i="2"/>
  <c r="K20" i="2"/>
  <c r="K22" i="2"/>
  <c r="K23" i="2"/>
  <c r="K24" i="2"/>
  <c r="K25" i="2"/>
  <c r="K26" i="2"/>
  <c r="K27" i="2"/>
  <c r="K28" i="2"/>
  <c r="K15" i="2"/>
  <c r="N8" i="1"/>
  <c r="N9" i="1"/>
  <c r="N10" i="1"/>
  <c r="N11" i="1"/>
  <c r="N12" i="1"/>
  <c r="N13" i="1"/>
  <c r="N14" i="1"/>
  <c r="N15" i="1"/>
  <c r="N16" i="1"/>
  <c r="N17" i="1"/>
  <c r="N18" i="1"/>
  <c r="N19" i="1"/>
  <c r="N7" i="1"/>
  <c r="N6" i="1"/>
  <c r="M8" i="1"/>
  <c r="M9" i="1"/>
  <c r="M10" i="1"/>
  <c r="M11" i="1"/>
  <c r="M12" i="1"/>
  <c r="M13" i="1"/>
  <c r="M14" i="1"/>
  <c r="M15" i="1"/>
  <c r="M16" i="1"/>
  <c r="M17" i="1"/>
  <c r="M18" i="1"/>
  <c r="M7" i="1"/>
  <c r="M6" i="1"/>
  <c r="L8" i="1"/>
  <c r="L9" i="1"/>
  <c r="L10" i="1"/>
  <c r="L11" i="1"/>
  <c r="L12" i="1"/>
  <c r="L13" i="1"/>
  <c r="L14" i="1"/>
  <c r="L15" i="1"/>
  <c r="L16" i="1"/>
  <c r="L17" i="1"/>
  <c r="L18" i="1"/>
  <c r="L19" i="1"/>
  <c r="L7" i="1"/>
  <c r="L6" i="1"/>
  <c r="K8" i="1"/>
  <c r="K9" i="1"/>
  <c r="K10" i="1"/>
  <c r="K11" i="1"/>
  <c r="K12" i="1"/>
  <c r="K13" i="1"/>
  <c r="K14" i="1"/>
  <c r="K15" i="1"/>
  <c r="K16" i="1"/>
  <c r="K17" i="1"/>
  <c r="K18" i="1"/>
  <c r="K19" i="1"/>
  <c r="K6" i="1"/>
  <c r="J9" i="1"/>
  <c r="J10" i="1"/>
  <c r="J11" i="1"/>
  <c r="J12" i="1"/>
  <c r="J13" i="1"/>
  <c r="J14" i="1"/>
  <c r="J15" i="1"/>
  <c r="J16" i="1"/>
  <c r="J17" i="1"/>
  <c r="J18" i="1"/>
  <c r="J19" i="1"/>
  <c r="J7" i="1"/>
  <c r="M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7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</futureMetadata>
  <cellMetadata count="1">
    <bk>
      <rc t="1" v="0"/>
    </bk>
  </cellMetadata>
  <valueMetadata count="77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</valueMetadata>
</metadata>
</file>

<file path=xl/sharedStrings.xml><?xml version="1.0" encoding="utf-8"?>
<sst xmlns="http://schemas.openxmlformats.org/spreadsheetml/2006/main" count="429" uniqueCount="261">
  <si>
    <t xml:space="preserve">Vertical Analysis </t>
  </si>
  <si>
    <t xml:space="preserve">Fiscal Year </t>
  </si>
  <si>
    <t xml:space="preserve">Gross Profit </t>
  </si>
  <si>
    <t xml:space="preserve">in millions </t>
  </si>
  <si>
    <t xml:space="preserve">Income Statement </t>
  </si>
  <si>
    <t xml:space="preserve">Net Sales </t>
  </si>
  <si>
    <t xml:space="preserve">Selling, general, and administrative </t>
  </si>
  <si>
    <t xml:space="preserve">Research and technical expenses </t>
  </si>
  <si>
    <t xml:space="preserve">Restructing and other (income) charges </t>
  </si>
  <si>
    <t xml:space="preserve">Goodwill impairment charge </t>
  </si>
  <si>
    <t xml:space="preserve">Acquisition-related costs </t>
  </si>
  <si>
    <t xml:space="preserve">Other (income) expense, net </t>
  </si>
  <si>
    <t xml:space="preserve">Interest expense </t>
  </si>
  <si>
    <t xml:space="preserve">Interest income </t>
  </si>
  <si>
    <t xml:space="preserve">Cost of Sales </t>
  </si>
  <si>
    <t xml:space="preserve">Income (loss) before income taxes </t>
  </si>
  <si>
    <t xml:space="preserve">Provision (benefit) for income taxes </t>
  </si>
  <si>
    <t xml:space="preserve">Net Income (loss) </t>
  </si>
  <si>
    <t xml:space="preserve">Horizontal Analysis </t>
  </si>
  <si>
    <t xml:space="preserve">Percent Change Since 2020 </t>
  </si>
  <si>
    <t xml:space="preserve">Percent Change Year Over Year </t>
  </si>
  <si>
    <t xml:space="preserve">Year </t>
  </si>
  <si>
    <t>Total Performance Materials</t>
  </si>
  <si>
    <t xml:space="preserve">Segment EBITDA </t>
  </si>
  <si>
    <t xml:space="preserve">Performance Chemicals </t>
  </si>
  <si>
    <t>Road Technolies product line</t>
  </si>
  <si>
    <t xml:space="preserve">Industrial Specialities product line </t>
  </si>
  <si>
    <t>Segment EBITDA</t>
  </si>
  <si>
    <t xml:space="preserve">Advanced Polymer Technologies </t>
  </si>
  <si>
    <t>North America</t>
  </si>
  <si>
    <t xml:space="preserve">Asia Pacific </t>
  </si>
  <si>
    <t>Europe, Middle East, Africa</t>
  </si>
  <si>
    <t xml:space="preserve">South America </t>
  </si>
  <si>
    <t xml:space="preserve">Regional Net Sales </t>
  </si>
  <si>
    <t xml:space="preserve">Performance Materials </t>
  </si>
  <si>
    <t xml:space="preserve">Total Revenue </t>
  </si>
  <si>
    <t xml:space="preserve">Total </t>
  </si>
  <si>
    <t> </t>
  </si>
  <si>
    <t>Year</t>
  </si>
  <si>
    <t xml:space="preserve">Net Sales (actual) </t>
  </si>
  <si>
    <t xml:space="preserve">Revenue Growth % </t>
  </si>
  <si>
    <t>Margin/Ratio</t>
  </si>
  <si>
    <t>Gross Margin %</t>
  </si>
  <si>
    <t xml:space="preserve">SG&amp;A % of Sales </t>
  </si>
  <si>
    <t xml:space="preserve">R&amp;D of Sales </t>
  </si>
  <si>
    <t xml:space="preserve">Operating Margin % </t>
  </si>
  <si>
    <t xml:space="preserve">Net Margin % </t>
  </si>
  <si>
    <t xml:space="preserve">Operating Income </t>
  </si>
  <si>
    <t xml:space="preserve">less Research and Technical </t>
  </si>
  <si>
    <t xml:space="preserve">less Restructuring and other income charges </t>
  </si>
  <si>
    <t xml:space="preserve">less Goodwill Impairment Charge </t>
  </si>
  <si>
    <t>less SG&amp;A</t>
  </si>
  <si>
    <t xml:space="preserve">less Acquisition-Related Costs </t>
  </si>
  <si>
    <t xml:space="preserve">less Other Income Expenses </t>
  </si>
  <si>
    <t>Operating Margin Percentage</t>
  </si>
  <si>
    <t xml:space="preserve">Net Margin Percentage </t>
  </si>
  <si>
    <t>Adj. EBITDA</t>
  </si>
  <si>
    <t xml:space="preserve">Perfomance Materials </t>
  </si>
  <si>
    <t xml:space="preserve">year over year growth </t>
  </si>
  <si>
    <t xml:space="preserve">Q1 </t>
  </si>
  <si>
    <t>Q2</t>
  </si>
  <si>
    <t>Q3</t>
  </si>
  <si>
    <t>2025 Net Sales</t>
  </si>
  <si>
    <t xml:space="preserve">Advanced Polymer Technology </t>
  </si>
  <si>
    <t>CAGR</t>
  </si>
  <si>
    <t xml:space="preserve">Total Sales </t>
  </si>
  <si>
    <t xml:space="preserve">Comparing Cost of Sales 2024 vs. 2025 </t>
  </si>
  <si>
    <t xml:space="preserve">Nine Months Ended September 30, </t>
  </si>
  <si>
    <t xml:space="preserve">Cost of Sales as a % of Total Sales </t>
  </si>
  <si>
    <t xml:space="preserve">Gross Profit Margin </t>
  </si>
  <si>
    <t xml:space="preserve">Costs and Expenses </t>
  </si>
  <si>
    <t xml:space="preserve">% of Revenue </t>
  </si>
  <si>
    <t xml:space="preserve">EBIT </t>
  </si>
  <si>
    <t xml:space="preserve">Non-Operating Income / Expense </t>
  </si>
  <si>
    <t xml:space="preserve">Taxes </t>
  </si>
  <si>
    <t>Depreciation &amp; Amortization</t>
  </si>
  <si>
    <t>EBITDA</t>
  </si>
  <si>
    <t xml:space="preserve">Basic EPS </t>
  </si>
  <si>
    <t xml:space="preserve">Diluted EPS </t>
  </si>
  <si>
    <t xml:space="preserve">Weighted Average Shares Outstanding </t>
  </si>
  <si>
    <t xml:space="preserve">Income (Loss) Before Income Taxes </t>
  </si>
  <si>
    <t xml:space="preserve">Total Operating Expenses </t>
  </si>
  <si>
    <t xml:space="preserve">Balance Sheet </t>
  </si>
  <si>
    <t xml:space="preserve">   </t>
  </si>
  <si>
    <t xml:space="preserve">Assets </t>
  </si>
  <si>
    <t xml:space="preserve">Current Assets </t>
  </si>
  <si>
    <t xml:space="preserve">Accounts Receivable, net </t>
  </si>
  <si>
    <t xml:space="preserve">Inventories </t>
  </si>
  <si>
    <t xml:space="preserve">Prepayments and other current assets </t>
  </si>
  <si>
    <t xml:space="preserve">Total Current Assets </t>
  </si>
  <si>
    <t xml:space="preserve">Long-term/Non-Current Assets </t>
  </si>
  <si>
    <t>Property, plant, and equipment, net</t>
  </si>
  <si>
    <t xml:space="preserve">Goodwill </t>
  </si>
  <si>
    <t xml:space="preserve">Intangible assets </t>
  </si>
  <si>
    <t xml:space="preserve">Other assets </t>
  </si>
  <si>
    <t xml:space="preserve">Total non-current assets </t>
  </si>
  <si>
    <t xml:space="preserve">Total Assets </t>
  </si>
  <si>
    <t xml:space="preserve">Liabilites and Equity </t>
  </si>
  <si>
    <t xml:space="preserve">Accounts payable </t>
  </si>
  <si>
    <t xml:space="preserve">Income taxes payable </t>
  </si>
  <si>
    <t xml:space="preserve">Total Liabilities </t>
  </si>
  <si>
    <t xml:space="preserve">Shareholders' Equity </t>
  </si>
  <si>
    <t xml:space="preserve">Common Stock </t>
  </si>
  <si>
    <t xml:space="preserve">Retained Earnings </t>
  </si>
  <si>
    <t xml:space="preserve">Accumulated other comprehensive income </t>
  </si>
  <si>
    <t xml:space="preserve">Total shareholders' equity </t>
  </si>
  <si>
    <t xml:space="preserve">Total liabilites and shareholders' equity </t>
  </si>
  <si>
    <t xml:space="preserve">Cash and Cash Equivalents </t>
  </si>
  <si>
    <t xml:space="preserve">Operating lease assets </t>
  </si>
  <si>
    <t xml:space="preserve">Deferred income taxes </t>
  </si>
  <si>
    <t>Strategic Investments</t>
  </si>
  <si>
    <t xml:space="preserve">Accrued expenses </t>
  </si>
  <si>
    <t xml:space="preserve">Accrued payroll and employee benefits </t>
  </si>
  <si>
    <t xml:space="preserve">Current operating lease liabilites </t>
  </si>
  <si>
    <t>Notes Payable and current maturities of long-term debt</t>
  </si>
  <si>
    <t xml:space="preserve">Current Liabilites </t>
  </si>
  <si>
    <t xml:space="preserve">Total short-term liabilites </t>
  </si>
  <si>
    <t xml:space="preserve">Long-Term Liabilities </t>
  </si>
  <si>
    <t>Long-term debt including finance lease obligations</t>
  </si>
  <si>
    <t xml:space="preserve">Noncurrent operating lease liabilities </t>
  </si>
  <si>
    <t xml:space="preserve">Other liabilites </t>
  </si>
  <si>
    <t xml:space="preserve">Total Long-Term Liabilities </t>
  </si>
  <si>
    <t>Treasury Stock</t>
  </si>
  <si>
    <t xml:space="preserve">Additional Paid-in Capital </t>
  </si>
  <si>
    <t xml:space="preserve">Cash Flow from Operating Activities </t>
  </si>
  <si>
    <t>Net Income</t>
  </si>
  <si>
    <t xml:space="preserve">Depreciation and Amortization </t>
  </si>
  <si>
    <t xml:space="preserve">Net Working Capital </t>
  </si>
  <si>
    <t>Chng. In NWC</t>
  </si>
  <si>
    <t>Chng. In NWC as % of Rev.</t>
  </si>
  <si>
    <t xml:space="preserve">Adjustments to reconcile net income (loss) to cash provided by operating activities </t>
  </si>
  <si>
    <t>Non Cash Operating lease costs</t>
  </si>
  <si>
    <t xml:space="preserve">Deferred Income taxes </t>
  </si>
  <si>
    <t xml:space="preserve">Disposal/Impairment of assets </t>
  </si>
  <si>
    <t xml:space="preserve">Restructuring and other (income) charges, net </t>
  </si>
  <si>
    <t xml:space="preserve">CTO resales </t>
  </si>
  <si>
    <t xml:space="preserve">LIFO reserve </t>
  </si>
  <si>
    <t xml:space="preserve">Share-Based Compensation </t>
  </si>
  <si>
    <t xml:space="preserve">(Gain) Loss on strategic investment </t>
  </si>
  <si>
    <t xml:space="preserve">Pension and other postretirement benefit costs </t>
  </si>
  <si>
    <t xml:space="preserve">Other non-cash items </t>
  </si>
  <si>
    <t xml:space="preserve">Changes in operating assets and liabilities, net of effect of acquisitions </t>
  </si>
  <si>
    <t>Accounts receivable, net</t>
  </si>
  <si>
    <t>Inventories, net</t>
  </si>
  <si>
    <t xml:space="preserve">Prepaid and other current assets </t>
  </si>
  <si>
    <t xml:space="preserve">Planned major maintenance outage </t>
  </si>
  <si>
    <t xml:space="preserve">Income taxes </t>
  </si>
  <si>
    <t xml:space="preserve">Operating leases </t>
  </si>
  <si>
    <t xml:space="preserve">Restructuring and other spending </t>
  </si>
  <si>
    <t xml:space="preserve">Changes in all other operating assets and liabilies, net. </t>
  </si>
  <si>
    <t xml:space="preserve">Days Inventory Outstanding </t>
  </si>
  <si>
    <t>Days Sales Outstanding</t>
  </si>
  <si>
    <t>average</t>
  </si>
  <si>
    <t xml:space="preserve">Accounts Payable Turnover Days </t>
  </si>
  <si>
    <t xml:space="preserve">Total Non-Operating Income </t>
  </si>
  <si>
    <t xml:space="preserve">Cash &amp; Cash Equivalents </t>
  </si>
  <si>
    <t xml:space="preserve">Interest Income </t>
  </si>
  <si>
    <t xml:space="preserve">Average Cash </t>
  </si>
  <si>
    <t>z</t>
  </si>
  <si>
    <t xml:space="preserve">Yield </t>
  </si>
  <si>
    <t xml:space="preserve">average </t>
  </si>
  <si>
    <t xml:space="preserve">Accrued Expenses </t>
  </si>
  <si>
    <t>Accrued Expenses / Total OpEx</t>
  </si>
  <si>
    <t>Accrued Payroll as a % of OPEX</t>
  </si>
  <si>
    <t xml:space="preserve">Operating Lease Liabilites </t>
  </si>
  <si>
    <t>Average</t>
  </si>
  <si>
    <t xml:space="preserve">Current Liabilities as a % of Total </t>
  </si>
  <si>
    <t xml:space="preserve">Revenue </t>
  </si>
  <si>
    <t>CapEx</t>
  </si>
  <si>
    <t xml:space="preserve">Change in Net Working Capital </t>
  </si>
  <si>
    <t>NOPAT</t>
  </si>
  <si>
    <t xml:space="preserve">Beta </t>
  </si>
  <si>
    <t>NGVT</t>
  </si>
  <si>
    <t>SPY</t>
  </si>
  <si>
    <t xml:space="preserve">NGVT Return </t>
  </si>
  <si>
    <t xml:space="preserve">SPY Return </t>
  </si>
  <si>
    <t>Beta</t>
  </si>
  <si>
    <t xml:space="preserve">D&amp;A </t>
  </si>
  <si>
    <t xml:space="preserve">Chg. YoY in % </t>
  </si>
  <si>
    <t xml:space="preserve">% Revenue </t>
  </si>
  <si>
    <t xml:space="preserve">Unlevered Free Cash Flow </t>
  </si>
  <si>
    <t>WACC</t>
  </si>
  <si>
    <t>WACC:</t>
  </si>
  <si>
    <t>Risk-Free</t>
  </si>
  <si>
    <t>Equity Risk Premium</t>
  </si>
  <si>
    <t xml:space="preserve">Cost of common equity </t>
  </si>
  <si>
    <t>Effectuve Tax Rate</t>
  </si>
  <si>
    <t>% Common Equity</t>
  </si>
  <si>
    <t xml:space="preserve">Pre-tax cost of debt </t>
  </si>
  <si>
    <t xml:space="preserve">Tax-rate </t>
  </si>
  <si>
    <t xml:space="preserve">After-tax cost of debt </t>
  </si>
  <si>
    <t xml:space="preserve">% Debt </t>
  </si>
  <si>
    <t xml:space="preserve">Cost of preferred equity </t>
  </si>
  <si>
    <t xml:space="preserve">% preferred equity </t>
  </si>
  <si>
    <t xml:space="preserve">Perpetuity Growth Rate </t>
  </si>
  <si>
    <t xml:space="preserve">Enterprise Value </t>
  </si>
  <si>
    <t xml:space="preserve">Share price </t>
  </si>
  <si>
    <t xml:space="preserve">Shares outstanding (diluted)  </t>
  </si>
  <si>
    <t xml:space="preserve">Total debt </t>
  </si>
  <si>
    <t xml:space="preserve">Market Cap </t>
  </si>
  <si>
    <t xml:space="preserve">Total Capital </t>
  </si>
  <si>
    <t xml:space="preserve">Interest expense, net </t>
  </si>
  <si>
    <t xml:space="preserve">Annualized interest expense </t>
  </si>
  <si>
    <t xml:space="preserve">Cost of Equity (CAPM) </t>
  </si>
  <si>
    <t>Average Historical Effective Tax Rate</t>
  </si>
  <si>
    <t xml:space="preserve">Net cash provided by (used in) operating activities </t>
  </si>
  <si>
    <t xml:space="preserve">Cash provided by (used in) investing activities: </t>
  </si>
  <si>
    <t xml:space="preserve">Capital expeditures </t>
  </si>
  <si>
    <t xml:space="preserve">Payments for acquired businesses, net of cash acquired </t>
  </si>
  <si>
    <t xml:space="preserve">Proceeds from sale of strategic investment </t>
  </si>
  <si>
    <t>Net investment hedge settlement</t>
  </si>
  <si>
    <t xml:space="preserve">Purchase of strategic investments </t>
  </si>
  <si>
    <t>Other investing activities, net</t>
  </si>
  <si>
    <t xml:space="preserve">Net cash provided by (used in) investing activities </t>
  </si>
  <si>
    <t xml:space="preserve">Cash provided by (used in) financing activities: </t>
  </si>
  <si>
    <t>Proceeds from revolving credit facilitiy and other borrowings</t>
  </si>
  <si>
    <t xml:space="preserve">Debt issuance costs </t>
  </si>
  <si>
    <t xml:space="preserve">Debt repayment costs </t>
  </si>
  <si>
    <t xml:space="preserve">Financing lease obligations, net </t>
  </si>
  <si>
    <t xml:space="preserve">Tax payments related to withholdings on vested equity awards </t>
  </si>
  <si>
    <t>Proceeds and withholdings from share-based compensation plans, net</t>
  </si>
  <si>
    <t xml:space="preserve">Repurchases of common stock under publicly announced plan </t>
  </si>
  <si>
    <t>Other financing activities, net</t>
  </si>
  <si>
    <t xml:space="preserve">Net cash provided by (used in) financing activities </t>
  </si>
  <si>
    <t xml:space="preserve">Increase (decrease) in cash, cash equivalents, and restricted cash </t>
  </si>
  <si>
    <t xml:space="preserve">Effect of exchange rate changes on cash </t>
  </si>
  <si>
    <t>Cash, cash equivalents, and restricted cash at beginning of period</t>
  </si>
  <si>
    <t xml:space="preserve">CapEx as a % of Revenue </t>
  </si>
  <si>
    <t xml:space="preserve">Discounted FCF </t>
  </si>
  <si>
    <t>Sum of Discounted FCFs</t>
  </si>
  <si>
    <t xml:space="preserve">Terminal Value </t>
  </si>
  <si>
    <t xml:space="preserve">Implied Enterprise Value </t>
  </si>
  <si>
    <t xml:space="preserve">TV as a % of EV </t>
  </si>
  <si>
    <t xml:space="preserve">Debt </t>
  </si>
  <si>
    <t xml:space="preserve">Minority Interests </t>
  </si>
  <si>
    <t xml:space="preserve">Preferred Equity </t>
  </si>
  <si>
    <t xml:space="preserve">Implied Equity Value </t>
  </si>
  <si>
    <t xml:space="preserve">Diluted Shares Outstanding </t>
  </si>
  <si>
    <t xml:space="preserve">Implied Share Price </t>
  </si>
  <si>
    <t xml:space="preserve">Current Share Price </t>
  </si>
  <si>
    <t xml:space="preserve">Premium (Discount) </t>
  </si>
  <si>
    <t xml:space="preserve">PV of Terminal Value </t>
  </si>
  <si>
    <t xml:space="preserve">Payments on revolving credit facility and other borrowings </t>
  </si>
  <si>
    <t xml:space="preserve">Payments on long-term borrowings </t>
  </si>
  <si>
    <t>Cash, cash equivalents, and restricted cash at end of period</t>
  </si>
  <si>
    <t xml:space="preserve">Proceeds from revolving credit facility </t>
  </si>
  <si>
    <t xml:space="preserve">Proceeds from long-term borrowings </t>
  </si>
  <si>
    <t xml:space="preserve">Change in cash, cash equivalents, and restricted cash </t>
  </si>
  <si>
    <t xml:space="preserve">Share-Based Compensation as a % of Revenue </t>
  </si>
  <si>
    <t xml:space="preserve">Average </t>
  </si>
  <si>
    <t>Accrued Expenses as a % of SG&amp;A</t>
  </si>
  <si>
    <t xml:space="preserve">Accrued Payroll as a % of Revenue </t>
  </si>
  <si>
    <t xml:space="preserve">Statement of Cash Flows </t>
  </si>
  <si>
    <t xml:space="preserve">Revenue Build </t>
  </si>
  <si>
    <t xml:space="preserve">Segment Composition </t>
  </si>
  <si>
    <t xml:space="preserve">Sales by Segment, Sales by Region, and Segment Composition  </t>
  </si>
  <si>
    <t>Avg.</t>
  </si>
  <si>
    <t>Intangibles amortization</t>
  </si>
  <si>
    <t xml:space="preserve">Intangibles Average </t>
  </si>
  <si>
    <t>Avg. Increase APIC</t>
  </si>
  <si>
    <t xml:space="preserve">DCF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</si>
</sst>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_(* #,##0.0_);_(* \(#,##0.0\);_(* &quot;-&quot;??_);_(@_)"/>
    <numFmt numFmtId="167" formatCode="0.000"/>
    <numFmt numFmtId="168" formatCode="_(* #,##0.0_);_(* \(#,##0.0\);_(* &quot;-&quot;?_);_(@_)"/>
    <numFmt numFmtId="169" formatCode="#,##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askerville Old Face"/>
    </font>
    <font>
      <b/>
      <sz val="12"/>
      <color theme="1"/>
      <name val="Baskerville Old Face"/>
    </font>
    <font>
      <i/>
      <sz val="12"/>
      <color theme="1"/>
      <name val="Baskerville Old Face"/>
    </font>
    <font>
      <i/>
      <sz val="12"/>
      <color theme="1"/>
      <name val="Baskerville Old Face"/>
      <family val="1"/>
    </font>
    <font>
      <sz val="12"/>
      <color theme="1"/>
      <name val="Baskerville Old Face"/>
      <family val="1"/>
    </font>
    <font>
      <sz val="12"/>
      <color theme="1"/>
      <name val="Garamond"/>
      <family val="1"/>
    </font>
    <font>
      <sz val="20"/>
      <color theme="1"/>
      <name val="Baskerville Old Face"/>
    </font>
    <font>
      <sz val="22"/>
      <color theme="1"/>
      <name val="Baskerville Old Face"/>
    </font>
    <font>
      <b/>
      <sz val="12"/>
      <color theme="1"/>
      <name val="Garamond"/>
      <family val="1"/>
    </font>
    <font>
      <sz val="16"/>
      <color theme="1"/>
      <name val="Garamond"/>
      <family val="1"/>
    </font>
    <font>
      <sz val="18"/>
      <color theme="1"/>
      <name val="Garamond"/>
      <family val="1"/>
    </font>
    <font>
      <sz val="26"/>
      <color theme="1"/>
      <name val="Baskerville Old Face"/>
    </font>
    <font>
      <b/>
      <i/>
      <sz val="12"/>
      <color theme="1"/>
      <name val="Baskerville Old Face"/>
    </font>
    <font>
      <i/>
      <sz val="10"/>
      <color theme="1"/>
      <name val="Baskerville Old Face"/>
    </font>
    <font>
      <b/>
      <sz val="12"/>
      <color theme="1"/>
      <name val="Baskerville Old Face"/>
      <family val="1"/>
    </font>
    <font>
      <sz val="24"/>
      <color theme="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0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thin">
        <color theme="0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 style="thin">
        <color theme="0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0">
    <xf numFmtId="0" fontId="0" fillId="0" borderId="0" xfId="0"/>
    <xf numFmtId="0" fontId="2" fillId="0" borderId="0" xfId="0" applyFont="1"/>
    <xf numFmtId="10" fontId="2" fillId="0" borderId="0" xfId="2" applyNumberFormat="1" applyFont="1"/>
    <xf numFmtId="2" fontId="2" fillId="0" borderId="0" xfId="0" applyNumberFormat="1" applyFont="1"/>
    <xf numFmtId="0" fontId="2" fillId="2" borderId="0" xfId="0" applyFont="1" applyFill="1"/>
    <xf numFmtId="0" fontId="2" fillId="2" borderId="10" xfId="0" applyFont="1" applyFill="1" applyBorder="1"/>
    <xf numFmtId="0" fontId="6" fillId="2" borderId="0" xfId="0" applyFont="1" applyFill="1"/>
    <xf numFmtId="43" fontId="2" fillId="2" borderId="10" xfId="0" applyNumberFormat="1" applyFont="1" applyFill="1" applyBorder="1"/>
    <xf numFmtId="43" fontId="2" fillId="2" borderId="0" xfId="0" applyNumberFormat="1" applyFont="1" applyFill="1"/>
    <xf numFmtId="165" fontId="2" fillId="2" borderId="10" xfId="0" applyNumberFormat="1" applyFont="1" applyFill="1" applyBorder="1"/>
    <xf numFmtId="0" fontId="4" fillId="2" borderId="0" xfId="0" applyFont="1" applyFill="1"/>
    <xf numFmtId="10" fontId="2" fillId="2" borderId="0" xfId="2" applyNumberFormat="1" applyFont="1" applyFill="1"/>
    <xf numFmtId="9" fontId="2" fillId="2" borderId="10" xfId="0" applyNumberFormat="1" applyFont="1" applyFill="1" applyBorder="1"/>
    <xf numFmtId="9" fontId="2" fillId="2" borderId="0" xfId="0" applyNumberFormat="1" applyFont="1" applyFill="1"/>
    <xf numFmtId="43" fontId="2" fillId="2" borderId="10" xfId="3" applyFont="1" applyFill="1" applyBorder="1"/>
    <xf numFmtId="0" fontId="7" fillId="2" borderId="0" xfId="0" applyFont="1" applyFill="1"/>
    <xf numFmtId="43" fontId="7" fillId="2" borderId="0" xfId="0" applyNumberFormat="1" applyFont="1" applyFill="1"/>
    <xf numFmtId="4" fontId="7" fillId="2" borderId="0" xfId="0" applyNumberFormat="1" applyFont="1" applyFill="1"/>
    <xf numFmtId="164" fontId="2" fillId="2" borderId="0" xfId="2" applyNumberFormat="1" applyFont="1" applyFill="1"/>
    <xf numFmtId="10" fontId="2" fillId="2" borderId="0" xfId="2" applyNumberFormat="1" applyFont="1" applyFill="1" applyBorder="1"/>
    <xf numFmtId="4" fontId="2" fillId="2" borderId="0" xfId="0" applyNumberFormat="1" applyFont="1" applyFill="1"/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5" fillId="2" borderId="20" xfId="0" applyFont="1" applyFill="1" applyBorder="1"/>
    <xf numFmtId="0" fontId="6" fillId="2" borderId="20" xfId="0" applyFont="1" applyFill="1" applyBorder="1"/>
    <xf numFmtId="43" fontId="2" fillId="2" borderId="21" xfId="0" applyNumberFormat="1" applyFont="1" applyFill="1" applyBorder="1"/>
    <xf numFmtId="0" fontId="4" fillId="2" borderId="20" xfId="0" applyFont="1" applyFill="1" applyBorder="1"/>
    <xf numFmtId="0" fontId="4" fillId="2" borderId="20" xfId="0" applyFont="1" applyFill="1" applyBorder="1" applyAlignment="1">
      <alignment horizontal="right"/>
    </xf>
    <xf numFmtId="9" fontId="2" fillId="2" borderId="21" xfId="0" applyNumberFormat="1" applyFont="1" applyFill="1" applyBorder="1"/>
    <xf numFmtId="43" fontId="2" fillId="2" borderId="22" xfId="3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2" fillId="2" borderId="25" xfId="0" applyFont="1" applyFill="1" applyBorder="1"/>
    <xf numFmtId="0" fontId="8" fillId="2" borderId="0" xfId="0" applyFont="1" applyFill="1"/>
    <xf numFmtId="0" fontId="9" fillId="2" borderId="0" xfId="0" applyFont="1" applyFill="1"/>
    <xf numFmtId="10" fontId="7" fillId="2" borderId="0" xfId="2" applyNumberFormat="1" applyFont="1" applyFill="1" applyBorder="1"/>
    <xf numFmtId="0" fontId="7" fillId="2" borderId="16" xfId="0" applyFont="1" applyFill="1" applyBorder="1"/>
    <xf numFmtId="0" fontId="7" fillId="2" borderId="17" xfId="0" applyFont="1" applyFill="1" applyBorder="1"/>
    <xf numFmtId="0" fontId="7" fillId="2" borderId="19" xfId="0" applyFont="1" applyFill="1" applyBorder="1"/>
    <xf numFmtId="0" fontId="7" fillId="2" borderId="20" xfId="0" applyFont="1" applyFill="1" applyBorder="1"/>
    <xf numFmtId="4" fontId="7" fillId="2" borderId="21" xfId="0" applyNumberFormat="1" applyFont="1" applyFill="1" applyBorder="1"/>
    <xf numFmtId="0" fontId="7" fillId="2" borderId="21" xfId="0" applyFont="1" applyFill="1" applyBorder="1"/>
    <xf numFmtId="0" fontId="10" fillId="2" borderId="20" xfId="0" applyFont="1" applyFill="1" applyBorder="1"/>
    <xf numFmtId="0" fontId="7" fillId="2" borderId="23" xfId="0" applyFont="1" applyFill="1" applyBorder="1"/>
    <xf numFmtId="10" fontId="7" fillId="2" borderId="24" xfId="2" applyNumberFormat="1" applyFont="1" applyFill="1" applyBorder="1"/>
    <xf numFmtId="10" fontId="7" fillId="2" borderId="25" xfId="2" applyNumberFormat="1" applyFont="1" applyFill="1" applyBorder="1"/>
    <xf numFmtId="10" fontId="7" fillId="2" borderId="21" xfId="2" applyNumberFormat="1" applyFont="1" applyFill="1" applyBorder="1"/>
    <xf numFmtId="0" fontId="12" fillId="2" borderId="0" xfId="0" applyFont="1" applyFill="1"/>
    <xf numFmtId="43" fontId="7" fillId="2" borderId="17" xfId="0" applyNumberFormat="1" applyFont="1" applyFill="1" applyBorder="1"/>
    <xf numFmtId="43" fontId="2" fillId="2" borderId="17" xfId="0" applyNumberFormat="1" applyFont="1" applyFill="1" applyBorder="1"/>
    <xf numFmtId="10" fontId="2" fillId="2" borderId="21" xfId="0" applyNumberFormat="1" applyFont="1" applyFill="1" applyBorder="1"/>
    <xf numFmtId="164" fontId="2" fillId="2" borderId="0" xfId="2" applyNumberFormat="1" applyFont="1" applyFill="1" applyBorder="1"/>
    <xf numFmtId="164" fontId="2" fillId="2" borderId="21" xfId="0" applyNumberFormat="1" applyFont="1" applyFill="1" applyBorder="1"/>
    <xf numFmtId="9" fontId="2" fillId="2" borderId="0" xfId="2" applyFont="1" applyFill="1" applyBorder="1"/>
    <xf numFmtId="2" fontId="2" fillId="2" borderId="25" xfId="0" applyNumberFormat="1" applyFont="1" applyFill="1" applyBorder="1"/>
    <xf numFmtId="0" fontId="3" fillId="2" borderId="0" xfId="0" applyFont="1" applyFill="1"/>
    <xf numFmtId="0" fontId="2" fillId="2" borderId="12" xfId="0" applyFont="1" applyFill="1" applyBorder="1"/>
    <xf numFmtId="43" fontId="2" fillId="2" borderId="0" xfId="3" applyFont="1" applyFill="1" applyBorder="1"/>
    <xf numFmtId="0" fontId="0" fillId="2" borderId="0" xfId="0" applyFill="1"/>
    <xf numFmtId="0" fontId="3" fillId="2" borderId="21" xfId="0" applyFont="1" applyFill="1" applyBorder="1"/>
    <xf numFmtId="0" fontId="2" fillId="2" borderId="27" xfId="0" applyFont="1" applyFill="1" applyBorder="1"/>
    <xf numFmtId="0" fontId="7" fillId="3" borderId="0" xfId="0" applyFont="1" applyFill="1"/>
    <xf numFmtId="164" fontId="2" fillId="2" borderId="0" xfId="0" applyNumberFormat="1" applyFont="1" applyFill="1"/>
    <xf numFmtId="167" fontId="2" fillId="2" borderId="0" xfId="0" applyNumberFormat="1" applyFont="1" applyFill="1"/>
    <xf numFmtId="10" fontId="2" fillId="2" borderId="24" xfId="0" applyNumberFormat="1" applyFont="1" applyFill="1" applyBorder="1"/>
    <xf numFmtId="164" fontId="2" fillId="2" borderId="24" xfId="0" applyNumberFormat="1" applyFont="1" applyFill="1" applyBorder="1"/>
    <xf numFmtId="10" fontId="2" fillId="2" borderId="25" xfId="0" applyNumberFormat="1" applyFont="1" applyFill="1" applyBorder="1"/>
    <xf numFmtId="10" fontId="2" fillId="2" borderId="0" xfId="0" applyNumberFormat="1" applyFont="1" applyFill="1"/>
    <xf numFmtId="10" fontId="2" fillId="2" borderId="21" xfId="2" applyNumberFormat="1" applyFont="1" applyFill="1" applyBorder="1"/>
    <xf numFmtId="0" fontId="0" fillId="2" borderId="20" xfId="0" applyFill="1" applyBorder="1"/>
    <xf numFmtId="10" fontId="2" fillId="2" borderId="24" xfId="2" applyNumberFormat="1" applyFont="1" applyFill="1" applyBorder="1"/>
    <xf numFmtId="0" fontId="13" fillId="2" borderId="0" xfId="0" applyFont="1" applyFill="1"/>
    <xf numFmtId="0" fontId="3" fillId="2" borderId="20" xfId="0" applyFont="1" applyFill="1" applyBorder="1"/>
    <xf numFmtId="0" fontId="2" fillId="2" borderId="26" xfId="0" applyFont="1" applyFill="1" applyBorder="1"/>
    <xf numFmtId="0" fontId="2" fillId="3" borderId="0" xfId="0" applyFont="1" applyFill="1"/>
    <xf numFmtId="0" fontId="2" fillId="3" borderId="20" xfId="0" applyFont="1" applyFill="1" applyBorder="1"/>
    <xf numFmtId="0" fontId="2" fillId="2" borderId="13" xfId="0" applyFont="1" applyFill="1" applyBorder="1"/>
    <xf numFmtId="0" fontId="2" fillId="2" borderId="0" xfId="0" applyFont="1" applyFill="1" applyAlignment="1">
      <alignment horizontal="center"/>
    </xf>
    <xf numFmtId="166" fontId="2" fillId="2" borderId="0" xfId="3" applyNumberFormat="1" applyFont="1" applyFill="1"/>
    <xf numFmtId="166" fontId="2" fillId="2" borderId="0" xfId="0" applyNumberFormat="1" applyFont="1" applyFill="1"/>
    <xf numFmtId="168" fontId="2" fillId="2" borderId="0" xfId="0" applyNumberFormat="1" applyFont="1" applyFill="1"/>
    <xf numFmtId="165" fontId="2" fillId="2" borderId="0" xfId="0" applyNumberFormat="1" applyFont="1" applyFill="1"/>
    <xf numFmtId="3" fontId="2" fillId="2" borderId="0" xfId="0" applyNumberFormat="1" applyFont="1" applyFill="1"/>
    <xf numFmtId="10" fontId="2" fillId="3" borderId="0" xfId="0" applyNumberFormat="1" applyFont="1" applyFill="1"/>
    <xf numFmtId="165" fontId="3" fillId="2" borderId="0" xfId="0" applyNumberFormat="1" applyFont="1" applyFill="1"/>
    <xf numFmtId="166" fontId="3" fillId="2" borderId="0" xfId="0" applyNumberFormat="1" applyFont="1" applyFill="1"/>
    <xf numFmtId="2" fontId="2" fillId="2" borderId="0" xfId="0" applyNumberFormat="1" applyFont="1" applyFill="1"/>
    <xf numFmtId="165" fontId="2" fillId="2" borderId="0" xfId="3" applyNumberFormat="1" applyFont="1" applyFill="1" applyBorder="1"/>
    <xf numFmtId="165" fontId="2" fillId="2" borderId="12" xfId="0" applyNumberFormat="1" applyFont="1" applyFill="1" applyBorder="1"/>
    <xf numFmtId="165" fontId="2" fillId="3" borderId="0" xfId="0" applyNumberFormat="1" applyFont="1" applyFill="1"/>
    <xf numFmtId="0" fontId="2" fillId="2" borderId="28" xfId="0" applyFont="1" applyFill="1" applyBorder="1"/>
    <xf numFmtId="165" fontId="2" fillId="2" borderId="29" xfId="0" applyNumberFormat="1" applyFont="1" applyFill="1" applyBorder="1"/>
    <xf numFmtId="0" fontId="2" fillId="2" borderId="30" xfId="0" applyFont="1" applyFill="1" applyBorder="1"/>
    <xf numFmtId="166" fontId="2" fillId="2" borderId="0" xfId="3" applyNumberFormat="1" applyFont="1" applyFill="1" applyBorder="1"/>
    <xf numFmtId="165" fontId="2" fillId="3" borderId="10" xfId="0" applyNumberFormat="1" applyFont="1" applyFill="1" applyBorder="1"/>
    <xf numFmtId="10" fontId="2" fillId="2" borderId="10" xfId="2" applyNumberFormat="1" applyFont="1" applyFill="1" applyBorder="1"/>
    <xf numFmtId="0" fontId="16" fillId="2" borderId="0" xfId="0" applyFont="1" applyFill="1"/>
    <xf numFmtId="10" fontId="2" fillId="2" borderId="12" xfId="2" applyNumberFormat="1" applyFont="1" applyFill="1" applyBorder="1"/>
    <xf numFmtId="10" fontId="2" fillId="2" borderId="11" xfId="2" applyNumberFormat="1" applyFont="1" applyFill="1" applyBorder="1"/>
    <xf numFmtId="0" fontId="4" fillId="2" borderId="12" xfId="0" applyFont="1" applyFill="1" applyBorder="1"/>
    <xf numFmtId="0" fontId="2" fillId="2" borderId="9" xfId="0" applyFont="1" applyFill="1" applyBorder="1"/>
    <xf numFmtId="10" fontId="2" fillId="2" borderId="10" xfId="0" applyNumberFormat="1" applyFont="1" applyFill="1" applyBorder="1"/>
    <xf numFmtId="0" fontId="2" fillId="2" borderId="14" xfId="0" applyFont="1" applyFill="1" applyBorder="1"/>
    <xf numFmtId="165" fontId="6" fillId="2" borderId="0" xfId="0" applyNumberFormat="1" applyFont="1" applyFill="1"/>
    <xf numFmtId="0" fontId="4" fillId="2" borderId="26" xfId="0" applyFont="1" applyFill="1" applyBorder="1" applyAlignment="1">
      <alignment horizontal="right"/>
    </xf>
    <xf numFmtId="0" fontId="4" fillId="2" borderId="23" xfId="0" applyFont="1" applyFill="1" applyBorder="1" applyAlignment="1">
      <alignment horizontal="left"/>
    </xf>
    <xf numFmtId="10" fontId="2" fillId="2" borderId="31" xfId="2" applyNumberFormat="1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2" borderId="34" xfId="0" applyFont="1" applyFill="1" applyBorder="1"/>
    <xf numFmtId="0" fontId="16" fillId="2" borderId="28" xfId="0" applyFont="1" applyFill="1" applyBorder="1"/>
    <xf numFmtId="43" fontId="16" fillId="2" borderId="29" xfId="3" applyFont="1" applyFill="1" applyBorder="1"/>
    <xf numFmtId="0" fontId="2" fillId="2" borderId="35" xfId="0" applyFont="1" applyFill="1" applyBorder="1" applyAlignment="1">
      <alignment horizontal="center"/>
    </xf>
    <xf numFmtId="10" fontId="2" fillId="2" borderId="36" xfId="2" applyNumberFormat="1" applyFont="1" applyFill="1" applyBorder="1"/>
    <xf numFmtId="0" fontId="2" fillId="2" borderId="36" xfId="0" applyFont="1" applyFill="1" applyBorder="1"/>
    <xf numFmtId="9" fontId="2" fillId="2" borderId="36" xfId="2" applyFont="1" applyFill="1" applyBorder="1"/>
    <xf numFmtId="0" fontId="16" fillId="2" borderId="36" xfId="0" applyFont="1" applyFill="1" applyBorder="1"/>
    <xf numFmtId="0" fontId="2" fillId="2" borderId="37" xfId="0" applyFont="1" applyFill="1" applyBorder="1"/>
    <xf numFmtId="0" fontId="2" fillId="2" borderId="38" xfId="0" applyFont="1" applyFill="1" applyBorder="1"/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39" xfId="0" applyFont="1" applyFill="1" applyBorder="1"/>
    <xf numFmtId="0" fontId="7" fillId="2" borderId="40" xfId="0" applyFont="1" applyFill="1" applyBorder="1"/>
    <xf numFmtId="0" fontId="7" fillId="2" borderId="41" xfId="0" applyFont="1" applyFill="1" applyBorder="1"/>
    <xf numFmtId="0" fontId="7" fillId="2" borderId="42" xfId="0" applyFont="1" applyFill="1" applyBorder="1"/>
    <xf numFmtId="0" fontId="7" fillId="2" borderId="43" xfId="0" applyFont="1" applyFill="1" applyBorder="1"/>
    <xf numFmtId="0" fontId="7" fillId="2" borderId="44" xfId="0" applyFont="1" applyFill="1" applyBorder="1"/>
    <xf numFmtId="0" fontId="7" fillId="2" borderId="45" xfId="0" applyFont="1" applyFill="1" applyBorder="1"/>
    <xf numFmtId="10" fontId="7" fillId="2" borderId="45" xfId="2" applyNumberFormat="1" applyFont="1" applyFill="1" applyBorder="1"/>
    <xf numFmtId="10" fontId="7" fillId="2" borderId="46" xfId="2" applyNumberFormat="1" applyFont="1" applyFill="1" applyBorder="1"/>
    <xf numFmtId="0" fontId="7" fillId="2" borderId="46" xfId="0" applyFont="1" applyFill="1" applyBorder="1"/>
    <xf numFmtId="9" fontId="7" fillId="2" borderId="0" xfId="2" applyFont="1" applyFill="1" applyBorder="1"/>
    <xf numFmtId="0" fontId="7" fillId="2" borderId="24" xfId="0" applyFont="1" applyFill="1" applyBorder="1"/>
    <xf numFmtId="0" fontId="7" fillId="2" borderId="25" xfId="0" applyFont="1" applyFill="1" applyBorder="1"/>
    <xf numFmtId="9" fontId="7" fillId="2" borderId="21" xfId="2" applyFont="1" applyFill="1" applyBorder="1"/>
    <xf numFmtId="9" fontId="7" fillId="2" borderId="24" xfId="2" applyFont="1" applyFill="1" applyBorder="1"/>
    <xf numFmtId="9" fontId="7" fillId="2" borderId="25" xfId="2" applyFont="1" applyFill="1" applyBorder="1"/>
    <xf numFmtId="0" fontId="7" fillId="2" borderId="47" xfId="0" applyFont="1" applyFill="1" applyBorder="1"/>
    <xf numFmtId="0" fontId="7" fillId="2" borderId="48" xfId="0" applyFont="1" applyFill="1" applyBorder="1"/>
    <xf numFmtId="0" fontId="7" fillId="2" borderId="49" xfId="0" applyFont="1" applyFill="1" applyBorder="1"/>
    <xf numFmtId="0" fontId="11" fillId="2" borderId="0" xfId="0" applyFont="1" applyFill="1"/>
    <xf numFmtId="0" fontId="17" fillId="2" borderId="0" xfId="0" applyFont="1" applyFill="1"/>
    <xf numFmtId="0" fontId="7" fillId="2" borderId="8" xfId="0" applyFont="1" applyFill="1" applyBorder="1"/>
    <xf numFmtId="10" fontId="7" fillId="3" borderId="0" xfId="2" applyNumberFormat="1" applyFont="1" applyFill="1" applyBorder="1"/>
    <xf numFmtId="44" fontId="7" fillId="2" borderId="0" xfId="1" applyFont="1" applyFill="1" applyBorder="1"/>
    <xf numFmtId="0" fontId="10" fillId="2" borderId="23" xfId="0" applyFont="1" applyFill="1" applyBorder="1"/>
    <xf numFmtId="0" fontId="7" fillId="3" borderId="42" xfId="0" applyFont="1" applyFill="1" applyBorder="1"/>
    <xf numFmtId="10" fontId="7" fillId="2" borderId="43" xfId="2" applyNumberFormat="1" applyFont="1" applyFill="1" applyBorder="1"/>
    <xf numFmtId="0" fontId="7" fillId="3" borderId="44" xfId="0" applyFont="1" applyFill="1" applyBorder="1"/>
    <xf numFmtId="0" fontId="10" fillId="2" borderId="42" xfId="0" applyFont="1" applyFill="1" applyBorder="1"/>
    <xf numFmtId="9" fontId="7" fillId="2" borderId="43" xfId="2" applyFont="1" applyFill="1" applyBorder="1"/>
    <xf numFmtId="0" fontId="10" fillId="2" borderId="44" xfId="0" applyFont="1" applyFill="1" applyBorder="1"/>
    <xf numFmtId="9" fontId="7" fillId="2" borderId="45" xfId="2" applyFont="1" applyFill="1" applyBorder="1"/>
    <xf numFmtId="9" fontId="7" fillId="2" borderId="46" xfId="2" applyFont="1" applyFill="1" applyBorder="1"/>
    <xf numFmtId="0" fontId="7" fillId="3" borderId="39" xfId="0" applyFont="1" applyFill="1" applyBorder="1"/>
    <xf numFmtId="0" fontId="7" fillId="3" borderId="40" xfId="0" applyFont="1" applyFill="1" applyBorder="1"/>
    <xf numFmtId="0" fontId="7" fillId="3" borderId="41" xfId="0" applyFont="1" applyFill="1" applyBorder="1"/>
    <xf numFmtId="10" fontId="7" fillId="3" borderId="43" xfId="2" applyNumberFormat="1" applyFont="1" applyFill="1" applyBorder="1"/>
    <xf numFmtId="0" fontId="7" fillId="3" borderId="45" xfId="0" applyFont="1" applyFill="1" applyBorder="1"/>
    <xf numFmtId="10" fontId="7" fillId="3" borderId="45" xfId="2" applyNumberFormat="1" applyFont="1" applyFill="1" applyBorder="1"/>
    <xf numFmtId="10" fontId="7" fillId="3" borderId="46" xfId="2" applyNumberFormat="1" applyFont="1" applyFill="1" applyBorder="1"/>
    <xf numFmtId="4" fontId="7" fillId="2" borderId="45" xfId="0" applyNumberFormat="1" applyFont="1" applyFill="1" applyBorder="1"/>
    <xf numFmtId="44" fontId="7" fillId="2" borderId="17" xfId="1" applyFont="1" applyFill="1" applyBorder="1"/>
    <xf numFmtId="10" fontId="7" fillId="2" borderId="19" xfId="2" applyNumberFormat="1" applyFont="1" applyFill="1" applyBorder="1"/>
    <xf numFmtId="44" fontId="7" fillId="2" borderId="24" xfId="0" applyNumberFormat="1" applyFont="1" applyFill="1" applyBorder="1"/>
    <xf numFmtId="0" fontId="2" fillId="2" borderId="50" xfId="0" applyFont="1" applyFill="1" applyBorder="1"/>
    <xf numFmtId="166" fontId="2" fillId="2" borderId="42" xfId="0" applyNumberFormat="1" applyFont="1" applyFill="1" applyBorder="1"/>
    <xf numFmtId="166" fontId="3" fillId="2" borderId="42" xfId="0" applyNumberFormat="1" applyFont="1" applyFill="1" applyBorder="1"/>
    <xf numFmtId="165" fontId="2" fillId="2" borderId="42" xfId="0" applyNumberFormat="1" applyFont="1" applyFill="1" applyBorder="1"/>
    <xf numFmtId="165" fontId="2" fillId="2" borderId="42" xfId="3" applyNumberFormat="1" applyFont="1" applyFill="1" applyBorder="1"/>
    <xf numFmtId="165" fontId="2" fillId="2" borderId="51" xfId="0" applyNumberFormat="1" applyFont="1" applyFill="1" applyBorder="1"/>
    <xf numFmtId="164" fontId="2" fillId="2" borderId="42" xfId="2" applyNumberFormat="1" applyFont="1" applyFill="1" applyBorder="1"/>
    <xf numFmtId="165" fontId="2" fillId="2" borderId="52" xfId="0" applyNumberFormat="1" applyFont="1" applyFill="1" applyBorder="1"/>
    <xf numFmtId="165" fontId="3" fillId="2" borderId="42" xfId="0" applyNumberFormat="1" applyFont="1" applyFill="1" applyBorder="1"/>
    <xf numFmtId="0" fontId="2" fillId="2" borderId="42" xfId="0" applyFont="1" applyFill="1" applyBorder="1"/>
    <xf numFmtId="0" fontId="2" fillId="2" borderId="53" xfId="0" applyFont="1" applyFill="1" applyBorder="1"/>
    <xf numFmtId="0" fontId="3" fillId="2" borderId="16" xfId="0" applyFont="1" applyFill="1" applyBorder="1"/>
    <xf numFmtId="166" fontId="2" fillId="2" borderId="17" xfId="3" applyNumberFormat="1" applyFont="1" applyFill="1" applyBorder="1"/>
    <xf numFmtId="166" fontId="2" fillId="2" borderId="19" xfId="3" applyNumberFormat="1" applyFont="1" applyFill="1" applyBorder="1"/>
    <xf numFmtId="166" fontId="2" fillId="2" borderId="21" xfId="3" applyNumberFormat="1" applyFont="1" applyFill="1" applyBorder="1"/>
    <xf numFmtId="43" fontId="2" fillId="2" borderId="21" xfId="3" applyFont="1" applyFill="1" applyBorder="1"/>
    <xf numFmtId="0" fontId="14" fillId="2" borderId="20" xfId="0" applyFont="1" applyFill="1" applyBorder="1"/>
    <xf numFmtId="166" fontId="4" fillId="2" borderId="0" xfId="3" applyNumberFormat="1" applyFont="1" applyFill="1" applyBorder="1"/>
    <xf numFmtId="166" fontId="4" fillId="2" borderId="21" xfId="3" applyNumberFormat="1" applyFont="1" applyFill="1" applyBorder="1"/>
    <xf numFmtId="43" fontId="2" fillId="2" borderId="0" xfId="2" applyNumberFormat="1" applyFont="1" applyFill="1" applyBorder="1"/>
    <xf numFmtId="43" fontId="2" fillId="2" borderId="21" xfId="2" applyNumberFormat="1" applyFont="1" applyFill="1" applyBorder="1"/>
    <xf numFmtId="10" fontId="2" fillId="2" borderId="25" xfId="2" applyNumberFormat="1" applyFont="1" applyFill="1" applyBorder="1"/>
    <xf numFmtId="0" fontId="3" fillId="2" borderId="28" xfId="0" applyFont="1" applyFill="1" applyBorder="1"/>
    <xf numFmtId="166" fontId="2" fillId="2" borderId="29" xfId="3" applyNumberFormat="1" applyFont="1" applyFill="1" applyBorder="1"/>
    <xf numFmtId="166" fontId="2" fillId="2" borderId="30" xfId="3" applyNumberFormat="1" applyFont="1" applyFill="1" applyBorder="1"/>
    <xf numFmtId="0" fontId="6" fillId="2" borderId="39" xfId="0" applyFont="1" applyFill="1" applyBorder="1"/>
    <xf numFmtId="0" fontId="2" fillId="2" borderId="40" xfId="0" applyFont="1" applyFill="1" applyBorder="1"/>
    <xf numFmtId="0" fontId="2" fillId="2" borderId="40" xfId="2" applyNumberFormat="1" applyFont="1" applyFill="1" applyBorder="1"/>
    <xf numFmtId="0" fontId="2" fillId="2" borderId="41" xfId="2" applyNumberFormat="1" applyFont="1" applyFill="1" applyBorder="1"/>
    <xf numFmtId="43" fontId="2" fillId="2" borderId="43" xfId="0" applyNumberFormat="1" applyFont="1" applyFill="1" applyBorder="1"/>
    <xf numFmtId="0" fontId="2" fillId="2" borderId="44" xfId="0" applyFont="1" applyFill="1" applyBorder="1"/>
    <xf numFmtId="43" fontId="7" fillId="2" borderId="45" xfId="0" applyNumberFormat="1" applyFont="1" applyFill="1" applyBorder="1"/>
    <xf numFmtId="43" fontId="2" fillId="2" borderId="45" xfId="0" applyNumberFormat="1" applyFont="1" applyFill="1" applyBorder="1"/>
    <xf numFmtId="43" fontId="2" fillId="2" borderId="46" xfId="0" applyNumberFormat="1" applyFont="1" applyFill="1" applyBorder="1"/>
    <xf numFmtId="0" fontId="2" fillId="2" borderId="41" xfId="0" applyFont="1" applyFill="1" applyBorder="1"/>
    <xf numFmtId="0" fontId="6" fillId="2" borderId="42" xfId="0" applyFont="1" applyFill="1" applyBorder="1"/>
    <xf numFmtId="0" fontId="2" fillId="2" borderId="43" xfId="0" applyFont="1" applyFill="1" applyBorder="1"/>
    <xf numFmtId="0" fontId="0" fillId="2" borderId="44" xfId="0" applyFill="1" applyBorder="1"/>
    <xf numFmtId="0" fontId="2" fillId="2" borderId="45" xfId="0" applyFont="1" applyFill="1" applyBorder="1"/>
    <xf numFmtId="0" fontId="2" fillId="2" borderId="46" xfId="0" applyFont="1" applyFill="1" applyBorder="1"/>
    <xf numFmtId="0" fontId="0" fillId="2" borderId="39" xfId="0" applyFill="1" applyBorder="1"/>
    <xf numFmtId="166" fontId="2" fillId="2" borderId="40" xfId="0" applyNumberFormat="1" applyFont="1" applyFill="1" applyBorder="1"/>
    <xf numFmtId="43" fontId="2" fillId="2" borderId="40" xfId="0" applyNumberFormat="1" applyFont="1" applyFill="1" applyBorder="1"/>
    <xf numFmtId="43" fontId="2" fillId="2" borderId="41" xfId="0" applyNumberFormat="1" applyFont="1" applyFill="1" applyBorder="1"/>
    <xf numFmtId="168" fontId="2" fillId="2" borderId="45" xfId="0" applyNumberFormat="1" applyFont="1" applyFill="1" applyBorder="1"/>
    <xf numFmtId="9" fontId="2" fillId="2" borderId="45" xfId="2" applyFont="1" applyFill="1" applyBorder="1"/>
    <xf numFmtId="0" fontId="10" fillId="3" borderId="39" xfId="0" applyFont="1" applyFill="1" applyBorder="1"/>
    <xf numFmtId="10" fontId="2" fillId="2" borderId="45" xfId="2" applyNumberFormat="1" applyFont="1" applyFill="1" applyBorder="1"/>
    <xf numFmtId="0" fontId="2" fillId="2" borderId="39" xfId="0" applyFont="1" applyFill="1" applyBorder="1"/>
    <xf numFmtId="0" fontId="2" fillId="3" borderId="42" xfId="0" applyFont="1" applyFill="1" applyBorder="1"/>
    <xf numFmtId="166" fontId="2" fillId="3" borderId="0" xfId="0" applyNumberFormat="1" applyFont="1" applyFill="1"/>
    <xf numFmtId="164" fontId="2" fillId="2" borderId="45" xfId="2" applyNumberFormat="1" applyFont="1" applyFill="1" applyBorder="1"/>
    <xf numFmtId="10" fontId="2" fillId="2" borderId="45" xfId="0" applyNumberFormat="1" applyFont="1" applyFill="1" applyBorder="1"/>
    <xf numFmtId="164" fontId="2" fillId="2" borderId="46" xfId="0" applyNumberFormat="1" applyFont="1" applyFill="1" applyBorder="1"/>
    <xf numFmtId="0" fontId="2" fillId="2" borderId="47" xfId="0" applyFont="1" applyFill="1" applyBorder="1"/>
    <xf numFmtId="0" fontId="2" fillId="2" borderId="48" xfId="0" applyFont="1" applyFill="1" applyBorder="1"/>
    <xf numFmtId="0" fontId="2" fillId="2" borderId="49" xfId="0" applyFont="1" applyFill="1" applyBorder="1"/>
    <xf numFmtId="165" fontId="2" fillId="2" borderId="39" xfId="0" applyNumberFormat="1" applyFont="1" applyFill="1" applyBorder="1"/>
    <xf numFmtId="166" fontId="2" fillId="2" borderId="42" xfId="3" applyNumberFormat="1" applyFont="1" applyFill="1" applyBorder="1"/>
    <xf numFmtId="0" fontId="2" fillId="2" borderId="54" xfId="0" applyFont="1" applyFill="1" applyBorder="1"/>
    <xf numFmtId="0" fontId="4" fillId="2" borderId="55" xfId="0" applyFont="1" applyFill="1" applyBorder="1" applyAlignment="1">
      <alignment horizontal="right"/>
    </xf>
    <xf numFmtId="164" fontId="2" fillId="2" borderId="42" xfId="0" applyNumberFormat="1" applyFont="1" applyFill="1" applyBorder="1"/>
    <xf numFmtId="0" fontId="3" fillId="3" borderId="28" xfId="0" applyFont="1" applyFill="1" applyBorder="1"/>
    <xf numFmtId="165" fontId="2" fillId="3" borderId="29" xfId="0" applyNumberFormat="1" applyFont="1" applyFill="1" applyBorder="1"/>
    <xf numFmtId="165" fontId="2" fillId="2" borderId="21" xfId="0" applyNumberFormat="1" applyFont="1" applyFill="1" applyBorder="1"/>
    <xf numFmtId="0" fontId="2" fillId="2" borderId="29" xfId="0" applyFont="1" applyFill="1" applyBorder="1"/>
    <xf numFmtId="165" fontId="2" fillId="2" borderId="56" xfId="0" applyNumberFormat="1" applyFont="1" applyFill="1" applyBorder="1"/>
    <xf numFmtId="165" fontId="2" fillId="2" borderId="30" xfId="0" applyNumberFormat="1" applyFont="1" applyFill="1" applyBorder="1"/>
    <xf numFmtId="0" fontId="6" fillId="2" borderId="28" xfId="0" applyFont="1" applyFill="1" applyBorder="1"/>
    <xf numFmtId="43" fontId="2" fillId="2" borderId="29" xfId="3" applyFont="1" applyFill="1" applyBorder="1"/>
    <xf numFmtId="43" fontId="2" fillId="2" borderId="56" xfId="3" applyFont="1" applyFill="1" applyBorder="1"/>
    <xf numFmtId="43" fontId="2" fillId="2" borderId="57" xfId="3" applyFont="1" applyFill="1" applyBorder="1"/>
    <xf numFmtId="43" fontId="2" fillId="2" borderId="24" xfId="3" applyFont="1" applyFill="1" applyBorder="1"/>
    <xf numFmtId="43" fontId="2" fillId="2" borderId="25" xfId="3" applyFont="1" applyFill="1" applyBorder="1"/>
    <xf numFmtId="166" fontId="2" fillId="2" borderId="0" xfId="3" applyNumberFormat="1" applyFont="1" applyFill="1" applyBorder="1" applyAlignment="1"/>
    <xf numFmtId="0" fontId="4" fillId="2" borderId="20" xfId="0" applyFont="1" applyFill="1" applyBorder="1" applyAlignment="1">
      <alignment horizontal="left"/>
    </xf>
    <xf numFmtId="0" fontId="2" fillId="2" borderId="58" xfId="0" applyFont="1" applyFill="1" applyBorder="1"/>
    <xf numFmtId="166" fontId="2" fillId="2" borderId="45" xfId="3" applyNumberFormat="1" applyFont="1" applyFill="1" applyBorder="1"/>
    <xf numFmtId="166" fontId="2" fillId="2" borderId="59" xfId="3" applyNumberFormat="1" applyFont="1" applyFill="1" applyBorder="1"/>
    <xf numFmtId="0" fontId="2" fillId="2" borderId="15" xfId="0" applyFont="1" applyFill="1" applyBorder="1"/>
    <xf numFmtId="4" fontId="7" fillId="2" borderId="24" xfId="0" applyNumberFormat="1" applyFont="1" applyFill="1" applyBorder="1"/>
    <xf numFmtId="164" fontId="5" fillId="2" borderId="0" xfId="2" applyNumberFormat="1" applyFont="1" applyFill="1" applyBorder="1"/>
    <xf numFmtId="164" fontId="5" fillId="2" borderId="21" xfId="2" applyNumberFormat="1" applyFont="1" applyFill="1" applyBorder="1"/>
    <xf numFmtId="0" fontId="2" fillId="2" borderId="20" xfId="0" applyFont="1" applyFill="1" applyBorder="1" applyAlignment="1">
      <alignment horizontal="left"/>
    </xf>
    <xf numFmtId="164" fontId="4" fillId="2" borderId="0" xfId="2" applyNumberFormat="1" applyFont="1" applyFill="1" applyBorder="1"/>
    <xf numFmtId="164" fontId="4" fillId="2" borderId="21" xfId="2" applyNumberFormat="1" applyFont="1" applyFill="1" applyBorder="1"/>
    <xf numFmtId="0" fontId="15" fillId="2" borderId="20" xfId="0" applyFont="1" applyFill="1" applyBorder="1" applyAlignment="1">
      <alignment horizontal="right"/>
    </xf>
    <xf numFmtId="10" fontId="15" fillId="2" borderId="0" xfId="2" applyNumberFormat="1" applyFont="1" applyFill="1" applyBorder="1"/>
    <xf numFmtId="10" fontId="15" fillId="2" borderId="21" xfId="2" applyNumberFormat="1" applyFont="1" applyFill="1" applyBorder="1"/>
    <xf numFmtId="2" fontId="2" fillId="2" borderId="21" xfId="0" applyNumberFormat="1" applyFont="1" applyFill="1" applyBorder="1"/>
    <xf numFmtId="169" fontId="2" fillId="2" borderId="0" xfId="0" applyNumberFormat="1" applyFont="1" applyFill="1"/>
    <xf numFmtId="9" fontId="2" fillId="2" borderId="24" xfId="2" applyFont="1" applyFill="1" applyBorder="1"/>
    <xf numFmtId="0" fontId="5" fillId="2" borderId="20" xfId="0" applyFont="1" applyFill="1" applyBorder="1" applyAlignment="1">
      <alignment horizontal="right"/>
    </xf>
    <xf numFmtId="9" fontId="2" fillId="2" borderId="21" xfId="2" applyFont="1" applyFill="1" applyBorder="1"/>
    <xf numFmtId="3" fontId="2" fillId="2" borderId="25" xfId="0" applyNumberFormat="1" applyFont="1" applyFill="1" applyBorder="1"/>
    <xf numFmtId="43" fontId="2" fillId="2" borderId="19" xfId="0" applyNumberFormat="1" applyFont="1" applyFill="1" applyBorder="1"/>
    <xf numFmtId="0" fontId="0" fillId="2" borderId="42" xfId="0" applyFill="1" applyBorder="1"/>
    <xf numFmtId="2" fontId="2" fillId="2" borderId="43" xfId="0" applyNumberFormat="1" applyFont="1" applyFill="1" applyBorder="1"/>
    <xf numFmtId="0" fontId="2" fillId="3" borderId="39" xfId="0" applyFont="1" applyFill="1" applyBorder="1"/>
    <xf numFmtId="10" fontId="2" fillId="3" borderId="40" xfId="0" applyNumberFormat="1" applyFont="1" applyFill="1" applyBorder="1"/>
    <xf numFmtId="10" fontId="2" fillId="2" borderId="43" xfId="0" applyNumberFormat="1" applyFont="1" applyFill="1" applyBorder="1"/>
    <xf numFmtId="166" fontId="2" fillId="2" borderId="43" xfId="0" applyNumberFormat="1" applyFont="1" applyFill="1" applyBorder="1"/>
    <xf numFmtId="0" fontId="2" fillId="2" borderId="0" xfId="2" applyNumberFormat="1" applyFont="1" applyFill="1" applyBorder="1"/>
    <xf numFmtId="0" fontId="2" fillId="2" borderId="43" xfId="2" applyNumberFormat="1" applyFont="1" applyFill="1" applyBorder="1"/>
    <xf numFmtId="43" fontId="2" fillId="2" borderId="29" xfId="0" applyNumberFormat="1" applyFont="1" applyFill="1" applyBorder="1"/>
    <xf numFmtId="43" fontId="2" fillId="2" borderId="30" xfId="0" applyNumberFormat="1" applyFont="1" applyFill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8C006D"/>
      <color rgb="FF410490"/>
      <color rgb="FFD41B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Array" Target="richData/rdarray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22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62">
    <v t="i">1</v>
    <v t="i">8</v>
    <v t="i">15</v>
    <v t="i">23</v>
    <v t="i">29</v>
    <v t="i">36</v>
    <v t="i">43</v>
    <v t="i">51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149</v>
    <v t="i">155</v>
    <v t="i">162</v>
    <v t="i">169</v>
    <v t="i">176</v>
    <v t="i">183</v>
    <v t="i">190</v>
    <v t="i">197</v>
    <v t="i">204</v>
    <v t="i">211</v>
    <v t="i">218</v>
    <v t="i">225</v>
    <v t="i">232</v>
    <v t="i">239</v>
    <v t="i">246</v>
    <v t="i">254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387</v>
    <v t="i">393</v>
    <v t="i">400</v>
    <v t="i">407</v>
    <v t="i">415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512</v>
    <v t="i">520</v>
    <v t="i">526</v>
    <v t="i">533</v>
    <v t="i">540</v>
    <v t="i">547</v>
    <v t="i">555</v>
    <v t="i">561</v>
    <v t="i">568</v>
    <v t="i">575</v>
    <v t="i">582</v>
    <v t="i">589</v>
    <v t="i">596</v>
    <v t="i">603</v>
    <v t="i">610</v>
    <v t="i">618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751</v>
    <v t="i">757</v>
    <v t="i">764</v>
    <v t="i">771</v>
    <v t="i">778</v>
    <v t="i">786</v>
    <v t="i">792</v>
    <v t="i">799</v>
    <v t="i">806</v>
    <v t="i">813</v>
    <v t="i">820</v>
    <v t="i">827</v>
    <v t="i">834</v>
    <v t="i">841</v>
    <v t="i">848</v>
    <v t="i">855</v>
    <v t="i">862</v>
    <v t="i">869</v>
    <v t="i">876</v>
    <v t="i">884</v>
    <v t="i">890</v>
    <v t="i">897</v>
    <v t="i">905</v>
    <v t="i">911</v>
    <v t="i">919</v>
    <v t="i">925</v>
    <v t="i">932</v>
    <v t="i">939</v>
    <v t="i">946</v>
    <v t="i">953</v>
    <v t="i">960</v>
    <v t="i">967</v>
    <v t="i">974</v>
    <v t="i">982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  <v t="i">1086</v>
    <v t="i">1094</v>
    <v t="i">1101</v>
    <v t="i">1107</v>
    <v t="i">1115</v>
    <v t="i">1121</v>
    <v t="i">1128</v>
    <v t="i">1135</v>
    <v t="i">1142</v>
    <v t="i">1150</v>
    <v t="i">1156</v>
    <v t="i">1163</v>
    <v t="i">1170</v>
    <v t="i">1177</v>
    <v t="i">1184</v>
    <v t="i">1191</v>
    <v t="i">1198</v>
    <v t="i">1205</v>
    <v t="i">1212</v>
    <v t="i">1219</v>
    <v t="i">1226</v>
    <v t="i">1233</v>
    <v t="i">1240</v>
    <v t="i">1248</v>
    <v t="i">1254</v>
    <v t="i">1261</v>
    <v t="i">1269</v>
    <v t="i">1275</v>
    <v t="i">1282</v>
    <v t="i">1289</v>
    <v t="i">1296</v>
    <v t="i">1303</v>
    <v t="i">1310</v>
    <v t="i">1317</v>
    <v t="i">1324</v>
    <v t="i">1331</v>
    <v t="i">1338</v>
    <v t="i">1346</v>
    <v t="i">1352</v>
    <v t="i">1359</v>
    <v t="i">1366</v>
    <v t="i">1373</v>
    <v t="i">1380</v>
    <v t="i">1387</v>
    <v t="i">1394</v>
    <v t="i">1401</v>
    <v t="i">1408</v>
    <v t="i">1415</v>
    <v t="i">1422</v>
    <v t="i">1429</v>
    <v t="i">1436</v>
    <v t="i">1443</v>
    <v t="i">1450</v>
    <v t="i">1458</v>
    <v t="i">1465</v>
    <v t="i">1471</v>
    <v t="i">1479</v>
    <v t="i">1485</v>
    <v t="i">1492</v>
    <v t="i">1499</v>
    <v t="i">1506</v>
    <v t="i">1514</v>
    <v t="i">1520</v>
    <v t="i">1527</v>
    <v t="i">1534</v>
    <v t="i">1541</v>
    <v t="i">1548</v>
    <v t="i">1555</v>
    <v t="i">1562</v>
    <v t="i">1569</v>
    <v t="i">1576</v>
    <v t="i">1583</v>
    <v t="i">1590</v>
    <v t="i">1597</v>
    <v t="i">1604</v>
    <v t="i">1612</v>
    <v t="i">1618</v>
    <v t="i">1625</v>
    <v t="i">1632</v>
    <v t="i">1639</v>
    <v t="i">1646</v>
    <v t="i">1653</v>
    <v t="i">1660</v>
    <v t="i">1667</v>
    <v t="i">1674</v>
    <v t="i">1681</v>
    <v t="i">1688</v>
    <v t="i">1695</v>
    <v t="i">1702</v>
    <v t="i">1710</v>
    <v t="i">1716</v>
    <v t="i">1723</v>
    <v t="i">1730</v>
    <v t="i">1737</v>
    <v t="i">1744</v>
    <v t="i">1751</v>
    <v t="i">1758</v>
    <v t="i">1765</v>
    <v t="i">1772</v>
    <v t="i">1779</v>
    <v t="i">1786</v>
    <v t="i">1793</v>
    <v t="i">1800</v>
    <v t="i">1807</v>
    <v t="i">1814</v>
    <v t="i">1821</v>
    <v t="i">1828</v>
  </a>
  <a r="1" c="262">
    <v>84.44</v>
    <v>78.959999999999994</v>
    <v>82.56</v>
    <v>77.88</v>
    <v>65.22</v>
    <v>66.84</v>
    <v>66.84</v>
    <v>58.49</v>
    <v>45.04</v>
    <v>46.89</v>
    <v>37.83</v>
    <v>28.16</v>
    <v>33.47</v>
    <v>34.659999999999997</v>
    <v>42.93</v>
    <v>39.67</v>
    <v>38.97</v>
    <v>47.88</v>
    <v>48.44</v>
    <v>45.83</v>
    <v>51.46</v>
    <v>52.67</v>
    <v>57.89</v>
    <v>50.25</v>
    <v>51.5</v>
    <v>47.31</v>
    <v>52.66</v>
    <v>53.19</v>
    <v>59.57</v>
    <v>58.1</v>
    <v>58.48</v>
    <v>58.51</v>
    <v>60.73</v>
    <v>57.7</v>
    <v>57.99</v>
    <v>59.23</v>
    <v>56.87</v>
    <v>55.58</v>
    <v>48.32</v>
    <v>52.93</v>
    <v>59.37</v>
    <v>62.3</v>
    <v>60.11</v>
    <v>54.88</v>
    <v>59.15</v>
    <v>67.349999999999994</v>
    <v>66.790000000000006</v>
    <v>68.45</v>
    <v>70.150000000000006</v>
    <v>71.28</v>
    <v>72.150000000000006</v>
    <v>74.290000000000006</v>
    <v>75.73</v>
    <v>75.36</v>
    <v>73.42</v>
    <v>72.459999999999994</v>
    <v>65.69</v>
    <v>72.45</v>
    <v>69.959999999999994</v>
    <v>69.94</v>
    <v>69.48</v>
    <v>72.599999999999994</v>
    <v>77.98</v>
    <v>75.31</v>
    <v>76.55</v>
    <v>75.73</v>
    <v>71.5</v>
    <v>74.13</v>
    <v>72.959999999999994</v>
    <v>78.08</v>
    <v>87.59</v>
    <v>89.24</v>
    <v>84.98</v>
    <v>82.31</v>
    <v>85.7</v>
    <v>83.61</v>
    <v>79.69</v>
    <v>81.87</v>
    <v>81.98</v>
    <v>82.07</v>
    <v>79.03</v>
    <v>80.040000000000006</v>
    <v>84.94</v>
    <v>82.42</v>
    <v>84.23</v>
    <v>77.569999999999993</v>
    <v>82.05</v>
    <v>78.8</v>
    <v>73.64</v>
    <v>71.61</v>
    <v>72.150000000000006</v>
    <v>74.37</v>
    <v>75.38</v>
    <v>77.95</v>
    <v>78.63</v>
    <v>77.91</v>
    <v>82.17</v>
    <v>83.18</v>
    <v>78.83</v>
    <v>74.3</v>
    <v>72.77</v>
    <v>73.900000000000006</v>
    <v>71.87</v>
    <v>71.94</v>
    <v>71.7</v>
    <v>73.599999999999994</v>
    <v>73.97</v>
    <v>68.64</v>
    <v>64.95</v>
    <v>63.18</v>
    <v>64.78</v>
    <v>66.47</v>
    <v>68.59</v>
    <v>63.09</v>
    <v>63.61</v>
    <v>64.5</v>
    <v>65.16</v>
    <v>64.91</v>
    <v>62.38</v>
    <v>62.35</v>
    <v>61.2</v>
    <v>59.9</v>
    <v>67.69</v>
    <v>65.790000000000006</v>
    <v>67.569999999999993</v>
    <v>70.25</v>
    <v>72.38</v>
    <v>70.55</v>
    <v>61.4</v>
    <v>64.040000000000006</v>
    <v>63.47</v>
    <v>63.69</v>
    <v>61.78</v>
    <v>63.24</v>
    <v>67.099999999999994</v>
    <v>68.72</v>
    <v>75.11</v>
    <v>73.03</v>
    <v>72.040000000000006</v>
    <v>69.41</v>
    <v>70.31</v>
    <v>64.040000000000006</v>
    <v>61.36</v>
    <v>60.63</v>
    <v>62.06</v>
    <v>61.39</v>
    <v>64.75</v>
    <v>66.260000000000005</v>
    <v>74.36</v>
    <v>78.69</v>
    <v>77</v>
    <v>78.400000000000006</v>
    <v>77.569999999999993</v>
    <v>71.959999999999994</v>
    <v>69.45</v>
    <v>70.599999999999994</v>
    <v>70.44</v>
    <v>74.14</v>
    <v>81.64</v>
    <v>80.489999999999995</v>
    <v>80.39</v>
    <v>86.93</v>
    <v>87.81</v>
    <v>90.75</v>
    <v>88.56</v>
    <v>81.69</v>
    <v>71.42</v>
    <v>68.89</v>
    <v>69.09</v>
    <v>71.52</v>
    <v>69.56</v>
    <v>72.72</v>
    <v>71.22</v>
    <v>71.739999999999995</v>
    <v>60.57</v>
    <v>54.5</v>
    <v>50.59</v>
    <v>49.86</v>
    <v>51.81</v>
    <v>53.9</v>
    <v>54.39</v>
    <v>51.92</v>
    <v>58.16</v>
    <v>58.61</v>
    <v>60.25</v>
    <v>61.61</v>
    <v>63.38</v>
    <v>58.16</v>
    <v>52.91</v>
    <v>51.65</v>
    <v>51.58</v>
    <v>54.65</v>
    <v>50.13</v>
    <v>50.69</v>
    <v>46.86</v>
    <v>47.61</v>
    <v>42.25</v>
    <v>40.39</v>
    <v>40.57</v>
    <v>39.49</v>
    <v>42.81</v>
    <v>37.93</v>
    <v>40.15</v>
    <v>39.79</v>
    <v>40.72</v>
    <v>41.74</v>
    <v>45.78</v>
    <v>47.82</v>
    <v>47.22</v>
    <v>43.3</v>
    <v>41.43</v>
    <v>40.86</v>
    <v>45.9</v>
    <v>43.8</v>
    <v>44.85</v>
    <v>47.66</v>
    <v>48.95</v>
    <v>45.27</v>
    <v>46</v>
    <v>45.27</v>
    <v>47.4</v>
    <v>47.7</v>
    <v>46.54</v>
    <v>45.27</v>
    <v>44.44</v>
    <v>48.51</v>
    <v>53.56</v>
    <v>54.48</v>
    <v>53.55</v>
    <v>47.74</v>
    <v>48.85</v>
    <v>48.04</v>
    <v>44.91</v>
    <v>43.9</v>
    <v>43.71</v>
    <v>41.29</v>
    <v>44.22</v>
    <v>44.44</v>
    <v>46.2</v>
    <v>41.2</v>
    <v>35.61</v>
    <v>35.97</v>
    <v>38.44</v>
    <v>39.53</v>
    <v>35.36</v>
    <v>38.56</v>
    <v>40.04</v>
    <v>40.42</v>
    <v>37.04</v>
    <v>34.229999999999997</v>
    <v>34.76</v>
    <v>33.65</v>
    <v>42</v>
    <v>45.24</v>
    <v>45.97</v>
    <v>48.56</v>
    <v>48.57</v>
    <v>47.11</v>
    <v>45.83</v>
    <v>40.799999999999997</v>
    <v>40.6</v>
    <v>39.86</v>
  </a>
  <a r="1" c="262">
    <v>322.41000000000003</v>
    <v>325.70999999999998</v>
    <v>331.95</v>
    <v>328.77</v>
    <v>321.73</v>
    <v>332.2</v>
    <v>337.6</v>
    <v>333.48</v>
    <v>296.26</v>
    <v>297.45999999999998</v>
    <v>269.32</v>
    <v>228.8</v>
    <v>253.42</v>
    <v>248.19</v>
    <v>278.2</v>
    <v>286.64</v>
    <v>282.97000000000003</v>
    <v>282.79000000000002</v>
    <v>292.44</v>
    <v>286.27999999999997</v>
    <v>295.44</v>
    <v>304.32</v>
    <v>319.33999999999997</v>
    <v>304.20999999999998</v>
    <v>308.64</v>
    <v>300.05</v>
    <v>312.23</v>
    <v>317.58999999999997</v>
    <v>321.72000000000003</v>
    <v>320.88</v>
    <v>326.52</v>
    <v>334.57</v>
    <v>336.84</v>
    <v>339.48</v>
    <v>350.58</v>
    <v>342.57</v>
    <v>334.06</v>
    <v>330.65</v>
    <v>328.73</v>
    <v>333.84</v>
    <v>346.85</v>
    <v>347.29</v>
    <v>345.78</v>
    <v>326.54000000000002</v>
    <v>350.16</v>
    <v>358.1</v>
    <v>355.33</v>
    <v>363.67</v>
    <v>369.85</v>
    <v>366.3</v>
    <v>369.18</v>
    <v>369</v>
    <v>373.88</v>
    <v>381.26</v>
    <v>375.7</v>
    <v>382.88</v>
    <v>370.07</v>
    <v>387.71</v>
    <v>392.64</v>
    <v>390.03</v>
    <v>380.36</v>
    <v>383.63</v>
    <v>394.06</v>
    <v>389.48</v>
    <v>395.98</v>
    <v>400.61</v>
    <v>411.49</v>
    <v>417.26</v>
    <v>416.74</v>
    <v>417.3</v>
    <v>422.12</v>
    <v>416.58</v>
    <v>414.94</v>
    <v>420.04</v>
    <v>422.6</v>
    <v>424.31</v>
    <v>414.92</v>
    <v>426.61</v>
    <v>433.72</v>
    <v>435.52</v>
    <v>431.34</v>
    <v>439.94</v>
    <v>438.51</v>
    <v>442.49</v>
    <v>445.92</v>
    <v>443.36</v>
    <v>450.25</v>
    <v>453.08</v>
    <v>445.44</v>
    <v>441.4</v>
    <v>443.91</v>
    <v>434.24</v>
    <v>437.86</v>
    <v>445.87</v>
    <v>453.12</v>
    <v>459.25</v>
    <v>468.53</v>
    <v>467.27</v>
    <v>468.89</v>
    <v>458.97</v>
    <v>453.42</v>
    <v>470.74</v>
    <v>459.87</v>
    <v>470.6</v>
    <v>474.96</v>
    <v>466.09</v>
    <v>464.72</v>
    <v>437.98</v>
    <v>441.95</v>
    <v>448.7</v>
    <v>440.46</v>
    <v>434.23</v>
    <v>437.75</v>
    <v>432.17</v>
    <v>420.07</v>
    <v>444.52</v>
    <v>452.69</v>
    <v>452.92</v>
    <v>447.57</v>
    <v>437.79</v>
    <v>426.04</v>
    <v>412</v>
    <v>411.34</v>
    <v>401.72</v>
    <v>389.63</v>
    <v>415.26</v>
    <v>410.54</v>
    <v>389.8</v>
    <v>365.86</v>
    <v>390.08</v>
    <v>381.24</v>
    <v>388.67</v>
    <v>385.13</v>
    <v>395.09</v>
    <v>411.99</v>
    <v>413.47</v>
    <v>427.1</v>
    <v>422.14</v>
    <v>405.31</v>
    <v>392.24</v>
    <v>406.6</v>
    <v>385.56</v>
    <v>367.95</v>
    <v>357.18</v>
    <v>362.79</v>
    <v>357.63</v>
    <v>374.29</v>
    <v>389.02</v>
    <v>376.35</v>
    <v>398.51</v>
    <v>396.03</v>
    <v>402.33</v>
    <v>406.91</v>
    <v>393.28</v>
    <v>383.27</v>
    <v>382.91</v>
    <v>382.43</v>
    <v>388.08</v>
    <v>398.5</v>
    <v>395.88</v>
    <v>405.68</v>
    <v>412.35</v>
    <v>408.04</v>
    <v>407.26</v>
    <v>396.38</v>
    <v>404.19</v>
    <v>385.91</v>
    <v>389.99</v>
    <v>395.75</v>
    <v>409.39</v>
    <v>409.19</v>
    <v>412.46</v>
    <v>412.2</v>
    <v>415.93</v>
    <v>412.63</v>
    <v>411.59</v>
    <v>418.62</v>
    <v>420.02</v>
    <v>427.92</v>
    <v>429.9</v>
    <v>439.46</v>
    <v>433.21</v>
    <v>443.28</v>
    <v>438.55</v>
    <v>449.28</v>
    <v>452.18</v>
    <v>456.92</v>
    <v>446.81</v>
    <v>445.65</v>
    <v>436.5</v>
    <v>439.97</v>
    <v>451.19</v>
    <v>445.52</v>
    <v>443.37</v>
    <v>430.42</v>
    <v>427.48</v>
    <v>429.54</v>
    <v>431.5</v>
    <v>421.19</v>
    <v>410.68</v>
    <v>434.69</v>
    <v>440.61</v>
    <v>450.79</v>
    <v>455.3</v>
    <v>459.1</v>
    <v>460.2</v>
    <v>469.33</v>
    <v>473.65</v>
    <v>475.31</v>
    <v>467.92</v>
    <v>476.68</v>
    <v>482.43</v>
    <v>487.41</v>
    <v>494.35</v>
    <v>501.2</v>
    <v>499.51</v>
    <v>507.85</v>
    <v>512.85</v>
    <v>511.72</v>
    <v>509.83</v>
    <v>521.21</v>
    <v>523.07000000000005</v>
    <v>518.42999999999995</v>
    <v>510.85</v>
    <v>495.16</v>
    <v>508.26</v>
    <v>511.29</v>
    <v>520.84</v>
    <v>529.45000000000005</v>
    <v>529.44000000000005</v>
    <v>527.37</v>
    <v>534.01</v>
    <v>542.78</v>
    <v>544.51</v>
    <v>544.22</v>
    <v>554.64</v>
    <v>559.99</v>
    <v>548.99</v>
    <v>544.44000000000005</v>
    <v>532.9</v>
    <v>532.99</v>
    <v>554.30999999999995</v>
    <v>562.13</v>
    <v>563.67999999999995</v>
    <v>540.36</v>
    <v>562.01</v>
    <v>568.25</v>
    <v>571.47</v>
    <v>572.98</v>
    <v>579.58000000000004</v>
    <v>584.59</v>
    <v>579.04</v>
    <v>571.04</v>
    <v>598.19000000000005</v>
    <v>585.75</v>
    <v>595.51</v>
    <v>602.54999999999995</v>
    <v>607.80999999999995</v>
    <v>604.21</v>
    <v>591.15</v>
    <v>595.01</v>
    <v>591.95000000000005</v>
  </a>
</arrayData>
</file>

<file path=xl/richData/rdrichvalue.xml><?xml version="1.0" encoding="utf-8"?>
<rvData xmlns="http://schemas.microsoft.com/office/spreadsheetml/2017/richdata" count="778">
  <rv s="0">
    <fb>43829</fb>
    <v>0</v>
  </rv>
  <rv s="0">
    <fb>84.44</fb>
    <v>1</v>
  </rv>
  <rv s="0">
    <fb>322.41000000000003</fb>
    <v>1</v>
  </rv>
  <rv s="0">
    <fb>43836</fb>
    <v>0</v>
  </rv>
  <rv s="0">
    <fb>78.959999999999994</fb>
    <v>1</v>
  </rv>
  <rv s="0">
    <fb>325.70999999999998</fb>
    <v>1</v>
  </rv>
  <rv s="0">
    <fb>43843</fb>
    <v>0</v>
  </rv>
  <rv s="0">
    <fb>82.56</fb>
    <v>1</v>
  </rv>
  <rv s="0">
    <fb>331.95</fb>
    <v>1</v>
  </rv>
  <rv s="0">
    <fb>43851</fb>
    <v>0</v>
  </rv>
  <rv s="0">
    <fb>77.88</fb>
    <v>1</v>
  </rv>
  <rv s="0">
    <fb>328.77</fb>
    <v>1</v>
  </rv>
  <rv s="0">
    <fb>43857</fb>
    <v>0</v>
  </rv>
  <rv s="0">
    <fb>65.22</fb>
    <v>1</v>
  </rv>
  <rv s="0">
    <fb>321.73</fb>
    <v>1</v>
  </rv>
  <rv s="0">
    <fb>43864</fb>
    <v>0</v>
  </rv>
  <rv s="0">
    <fb>66.84</fb>
    <v>1</v>
  </rv>
  <rv s="0">
    <fb>332.2</fb>
    <v>1</v>
  </rv>
  <rv s="0">
    <fb>43871</fb>
    <v>0</v>
  </rv>
  <rv s="0">
    <fb>337.6</fb>
    <v>1</v>
  </rv>
  <rv s="0">
    <fb>43879</fb>
    <v>0</v>
  </rv>
  <rv s="0">
    <fb>58.49</fb>
    <v>1</v>
  </rv>
  <rv s="0">
    <fb>333.48</fb>
    <v>1</v>
  </rv>
  <rv s="0">
    <fb>43885</fb>
    <v>0</v>
  </rv>
  <rv s="0">
    <fb>45.04</fb>
    <v>1</v>
  </rv>
  <rv s="0">
    <fb>296.26</fb>
    <v>1</v>
  </rv>
  <rv s="0">
    <fb>43892</fb>
    <v>0</v>
  </rv>
  <rv s="0">
    <fb>46.89</fb>
    <v>1</v>
  </rv>
  <rv s="0">
    <fb>297.45999999999998</fb>
    <v>1</v>
  </rv>
  <rv s="0">
    <fb>43899</fb>
    <v>0</v>
  </rv>
  <rv s="0">
    <fb>37.83</fb>
    <v>1</v>
  </rv>
  <rv s="0">
    <fb>269.32</fb>
    <v>1</v>
  </rv>
  <rv s="0">
    <fb>43906</fb>
    <v>0</v>
  </rv>
  <rv s="0">
    <fb>28.16</fb>
    <v>1</v>
  </rv>
  <rv s="0">
    <fb>228.8</fb>
    <v>1</v>
  </rv>
  <rv s="0">
    <fb>43913</fb>
    <v>0</v>
  </rv>
  <rv s="0">
    <fb>33.47</fb>
    <v>1</v>
  </rv>
  <rv s="0">
    <fb>253.42</fb>
    <v>1</v>
  </rv>
  <rv s="0">
    <fb>43920</fb>
    <v>0</v>
  </rv>
  <rv s="0">
    <fb>34.659999999999997</fb>
    <v>1</v>
  </rv>
  <rv s="0">
    <fb>248.19</fb>
    <v>1</v>
  </rv>
  <rv s="0">
    <fb>43927</fb>
    <v>0</v>
  </rv>
  <rv s="0">
    <fb>42.93</fb>
    <v>1</v>
  </rv>
  <rv s="0">
    <fb>278.2</fb>
    <v>1</v>
  </rv>
  <rv s="0">
    <fb>43934</fb>
    <v>0</v>
  </rv>
  <rv s="0">
    <fb>39.67</fb>
    <v>1</v>
  </rv>
  <rv s="0">
    <fb>286.64</fb>
    <v>1</v>
  </rv>
  <rv s="0">
    <fb>43941</fb>
    <v>0</v>
  </rv>
  <rv s="0">
    <fb>38.97</fb>
    <v>1</v>
  </rv>
  <rv s="0">
    <fb>282.97000000000003</fb>
    <v>1</v>
  </rv>
  <rv s="0">
    <fb>43948</fb>
    <v>0</v>
  </rv>
  <rv s="0">
    <fb>47.88</fb>
    <v>1</v>
  </rv>
  <rv s="0">
    <fb>282.79000000000002</fb>
    <v>1</v>
  </rv>
  <rv s="0">
    <fb>43955</fb>
    <v>0</v>
  </rv>
  <rv s="0">
    <fb>48.44</fb>
    <v>1</v>
  </rv>
  <rv s="0">
    <fb>292.44</fb>
    <v>1</v>
  </rv>
  <rv s="0">
    <fb>43962</fb>
    <v>0</v>
  </rv>
  <rv s="0">
    <fb>45.83</fb>
    <v>1</v>
  </rv>
  <rv s="0">
    <fb>286.27999999999997</fb>
    <v>1</v>
  </rv>
  <rv s="0">
    <fb>43969</fb>
    <v>0</v>
  </rv>
  <rv s="0">
    <fb>51.46</fb>
    <v>1</v>
  </rv>
  <rv s="0">
    <fb>295.44</fb>
    <v>1</v>
  </rv>
  <rv s="0">
    <fb>43977</fb>
    <v>0</v>
  </rv>
  <rv s="0">
    <fb>52.67</fb>
    <v>1</v>
  </rv>
  <rv s="0">
    <fb>304.32</fb>
    <v>1</v>
  </rv>
  <rv s="0">
    <fb>43983</fb>
    <v>0</v>
  </rv>
  <rv s="0">
    <fb>57.89</fb>
    <v>1</v>
  </rv>
  <rv s="0">
    <fb>319.33999999999997</fb>
    <v>1</v>
  </rv>
  <rv s="0">
    <fb>43990</fb>
    <v>0</v>
  </rv>
  <rv s="0">
    <fb>50.25</fb>
    <v>1</v>
  </rv>
  <rv s="0">
    <fb>304.20999999999998</fb>
    <v>1</v>
  </rv>
  <rv s="0">
    <fb>43997</fb>
    <v>0</v>
  </rv>
  <rv s="0">
    <fb>51.5</fb>
    <v>1</v>
  </rv>
  <rv s="0">
    <fb>308.64</fb>
    <v>1</v>
  </rv>
  <rv s="0">
    <fb>44004</fb>
    <v>0</v>
  </rv>
  <rv s="0">
    <fb>47.31</fb>
    <v>1</v>
  </rv>
  <rv s="0">
    <fb>300.05</fb>
    <v>1</v>
  </rv>
  <rv s="0">
    <fb>44011</fb>
    <v>0</v>
  </rv>
  <rv s="0">
    <fb>52.66</fb>
    <v>1</v>
  </rv>
  <rv s="0">
    <fb>312.23</fb>
    <v>1</v>
  </rv>
  <rv s="0">
    <fb>44018</fb>
    <v>0</v>
  </rv>
  <rv s="0">
    <fb>53.19</fb>
    <v>1</v>
  </rv>
  <rv s="0">
    <fb>317.58999999999997</fb>
    <v>1</v>
  </rv>
  <rv s="0">
    <fb>44025</fb>
    <v>0</v>
  </rv>
  <rv s="0">
    <fb>59.57</fb>
    <v>1</v>
  </rv>
  <rv s="0">
    <fb>321.72000000000003</fb>
    <v>1</v>
  </rv>
  <rv s="0">
    <fb>44032</fb>
    <v>0</v>
  </rv>
  <rv s="0">
    <fb>58.1</fb>
    <v>1</v>
  </rv>
  <rv s="0">
    <fb>320.88</fb>
    <v>1</v>
  </rv>
  <rv s="0">
    <fb>44039</fb>
    <v>0</v>
  </rv>
  <rv s="0">
    <fb>58.48</fb>
    <v>1</v>
  </rv>
  <rv s="0">
    <fb>326.52</fb>
    <v>1</v>
  </rv>
  <rv s="0">
    <fb>44046</fb>
    <v>0</v>
  </rv>
  <rv s="0">
    <fb>58.51</fb>
    <v>1</v>
  </rv>
  <rv s="0">
    <fb>334.57</fb>
    <v>1</v>
  </rv>
  <rv s="0">
    <fb>44053</fb>
    <v>0</v>
  </rv>
  <rv s="0">
    <fb>60.73</fb>
    <v>1</v>
  </rv>
  <rv s="0">
    <fb>336.84</fb>
    <v>1</v>
  </rv>
  <rv s="0">
    <fb>44060</fb>
    <v>0</v>
  </rv>
  <rv s="0">
    <fb>57.7</fb>
    <v>1</v>
  </rv>
  <rv s="0">
    <fb>339.48</fb>
    <v>1</v>
  </rv>
  <rv s="0">
    <fb>44067</fb>
    <v>0</v>
  </rv>
  <rv s="0">
    <fb>57.99</fb>
    <v>1</v>
  </rv>
  <rv s="0">
    <fb>350.58</fb>
    <v>1</v>
  </rv>
  <rv s="0">
    <fb>44074</fb>
    <v>0</v>
  </rv>
  <rv s="0">
    <fb>59.23</fb>
    <v>1</v>
  </rv>
  <rv s="0">
    <fb>342.57</fb>
    <v>1</v>
  </rv>
  <rv s="0">
    <fb>44082</fb>
    <v>0</v>
  </rv>
  <rv s="0">
    <fb>56.87</fb>
    <v>1</v>
  </rv>
  <rv s="0">
    <fb>334.06</fb>
    <v>1</v>
  </rv>
  <rv s="0">
    <fb>44088</fb>
    <v>0</v>
  </rv>
  <rv s="0">
    <fb>55.58</fb>
    <v>1</v>
  </rv>
  <rv s="0">
    <fb>330.65</fb>
    <v>1</v>
  </rv>
  <rv s="0">
    <fb>44095</fb>
    <v>0</v>
  </rv>
  <rv s="0">
    <fb>48.32</fb>
    <v>1</v>
  </rv>
  <rv s="0">
    <fb>328.73</fb>
    <v>1</v>
  </rv>
  <rv s="0">
    <fb>44102</fb>
    <v>0</v>
  </rv>
  <rv s="0">
    <fb>52.93</fb>
    <v>1</v>
  </rv>
  <rv s="0">
    <fb>333.84</fb>
    <v>1</v>
  </rv>
  <rv s="0">
    <fb>44109</fb>
    <v>0</v>
  </rv>
  <rv s="0">
    <fb>59.37</fb>
    <v>1</v>
  </rv>
  <rv s="0">
    <fb>346.85</fb>
    <v>1</v>
  </rv>
  <rv s="0">
    <fb>44116</fb>
    <v>0</v>
  </rv>
  <rv s="0">
    <fb>62.3</fb>
    <v>1</v>
  </rv>
  <rv s="0">
    <fb>347.29</fb>
    <v>1</v>
  </rv>
  <rv s="0">
    <fb>44123</fb>
    <v>0</v>
  </rv>
  <rv s="0">
    <fb>60.11</fb>
    <v>1</v>
  </rv>
  <rv s="0">
    <fb>345.78</fb>
    <v>1</v>
  </rv>
  <rv s="0">
    <fb>44130</fb>
    <v>0</v>
  </rv>
  <rv s="0">
    <fb>54.88</fb>
    <v>1</v>
  </rv>
  <rv s="0">
    <fb>326.54000000000002</fb>
    <v>1</v>
  </rv>
  <rv s="0">
    <fb>44137</fb>
    <v>0</v>
  </rv>
  <rv s="0">
    <fb>59.15</fb>
    <v>1</v>
  </rv>
  <rv s="0">
    <fb>350.16</fb>
    <v>1</v>
  </rv>
  <rv s="0">
    <fb>44144</fb>
    <v>0</v>
  </rv>
  <rv s="0">
    <fb>67.349999999999994</fb>
    <v>1</v>
  </rv>
  <rv s="0">
    <fb>358.1</fb>
    <v>1</v>
  </rv>
  <rv s="0">
    <fb>44151</fb>
    <v>0</v>
  </rv>
  <rv s="0">
    <fb>66.790000000000006</fb>
    <v>1</v>
  </rv>
  <rv s="0">
    <fb>355.33</fb>
    <v>1</v>
  </rv>
  <rv s="0">
    <fb>44158</fb>
    <v>0</v>
  </rv>
  <rv s="0">
    <fb>68.45</fb>
    <v>1</v>
  </rv>
  <rv s="0">
    <fb>363.67</fb>
    <v>1</v>
  </rv>
  <rv s="0">
    <fb>44165</fb>
    <v>0</v>
  </rv>
  <rv s="0">
    <fb>70.150000000000006</fb>
    <v>1</v>
  </rv>
  <rv s="0">
    <fb>369.85</fb>
    <v>1</v>
  </rv>
  <rv s="0">
    <fb>44172</fb>
    <v>0</v>
  </rv>
  <rv s="0">
    <fb>71.28</fb>
    <v>1</v>
  </rv>
  <rv s="0">
    <fb>366.3</fb>
    <v>1</v>
  </rv>
  <rv s="0">
    <fb>44179</fb>
    <v>0</v>
  </rv>
  <rv s="0">
    <fb>72.150000000000006</fb>
    <v>1</v>
  </rv>
  <rv s="0">
    <fb>369.18</fb>
    <v>1</v>
  </rv>
  <rv s="0">
    <fb>44186</fb>
    <v>0</v>
  </rv>
  <rv s="0">
    <fb>74.290000000000006</fb>
    <v>1</v>
  </rv>
  <rv s="0">
    <fb>369</fb>
    <v>1</v>
  </rv>
  <rv s="0">
    <fb>44193</fb>
    <v>0</v>
  </rv>
  <rv s="0">
    <fb>75.73</fb>
    <v>1</v>
  </rv>
  <rv s="0">
    <fb>373.88</fb>
    <v>1</v>
  </rv>
  <rv s="0">
    <fb>44200</fb>
    <v>0</v>
  </rv>
  <rv s="0">
    <fb>75.36</fb>
    <v>1</v>
  </rv>
  <rv s="0">
    <fb>381.26</fb>
    <v>1</v>
  </rv>
  <rv s="0">
    <fb>44207</fb>
    <v>0</v>
  </rv>
  <rv s="0">
    <fb>73.42</fb>
    <v>1</v>
  </rv>
  <rv s="0">
    <fb>375.7</fb>
    <v>1</v>
  </rv>
  <rv s="0">
    <fb>44215</fb>
    <v>0</v>
  </rv>
  <rv s="0">
    <fb>72.459999999999994</fb>
    <v>1</v>
  </rv>
  <rv s="0">
    <fb>382.88</fb>
    <v>1</v>
  </rv>
  <rv s="0">
    <fb>44221</fb>
    <v>0</v>
  </rv>
  <rv s="0">
    <fb>65.69</fb>
    <v>1</v>
  </rv>
  <rv s="0">
    <fb>370.07</fb>
    <v>1</v>
  </rv>
  <rv s="0">
    <fb>44228</fb>
    <v>0</v>
  </rv>
  <rv s="0">
    <fb>72.45</fb>
    <v>1</v>
  </rv>
  <rv s="0">
    <fb>387.71</fb>
    <v>1</v>
  </rv>
  <rv s="0">
    <fb>44235</fb>
    <v>0</v>
  </rv>
  <rv s="0">
    <fb>69.959999999999994</fb>
    <v>1</v>
  </rv>
  <rv s="0">
    <fb>392.64</fb>
    <v>1</v>
  </rv>
  <rv s="0">
    <fb>44243</fb>
    <v>0</v>
  </rv>
  <rv s="0">
    <fb>69.94</fb>
    <v>1</v>
  </rv>
  <rv s="0">
    <fb>390.03</fb>
    <v>1</v>
  </rv>
  <rv s="0">
    <fb>44249</fb>
    <v>0</v>
  </rv>
  <rv s="0">
    <fb>69.48</fb>
    <v>1</v>
  </rv>
  <rv s="0">
    <fb>380.36</fb>
    <v>1</v>
  </rv>
  <rv s="0">
    <fb>44256</fb>
    <v>0</v>
  </rv>
  <rv s="0">
    <fb>72.599999999999994</fb>
    <v>1</v>
  </rv>
  <rv s="0">
    <fb>383.63</fb>
    <v>1</v>
  </rv>
  <rv s="0">
    <fb>44263</fb>
    <v>0</v>
  </rv>
  <rv s="0">
    <fb>77.98</fb>
    <v>1</v>
  </rv>
  <rv s="0">
    <fb>394.06</fb>
    <v>1</v>
  </rv>
  <rv s="0">
    <fb>44270</fb>
    <v>0</v>
  </rv>
  <rv s="0">
    <fb>75.31</fb>
    <v>1</v>
  </rv>
  <rv s="0">
    <fb>389.48</fb>
    <v>1</v>
  </rv>
  <rv s="0">
    <fb>44277</fb>
    <v>0</v>
  </rv>
  <rv s="0">
    <fb>76.55</fb>
    <v>1</v>
  </rv>
  <rv s="0">
    <fb>395.98</fb>
    <v>1</v>
  </rv>
  <rv s="0">
    <fb>44284</fb>
    <v>0</v>
  </rv>
  <rv s="0">
    <fb>400.61</fb>
    <v>1</v>
  </rv>
  <rv s="0">
    <fb>44291</fb>
    <v>0</v>
  </rv>
  <rv s="0">
    <fb>71.5</fb>
    <v>1</v>
  </rv>
  <rv s="0">
    <fb>411.49</fb>
    <v>1</v>
  </rv>
  <rv s="0">
    <fb>44298</fb>
    <v>0</v>
  </rv>
  <rv s="0">
    <fb>74.13</fb>
    <v>1</v>
  </rv>
  <rv s="0">
    <fb>417.26</fb>
    <v>1</v>
  </rv>
  <rv s="0">
    <fb>44305</fb>
    <v>0</v>
  </rv>
  <rv s="0">
    <fb>72.959999999999994</fb>
    <v>1</v>
  </rv>
  <rv s="0">
    <fb>416.74</fb>
    <v>1</v>
  </rv>
  <rv s="0">
    <fb>44312</fb>
    <v>0</v>
  </rv>
  <rv s="0">
    <fb>78.08</fb>
    <v>1</v>
  </rv>
  <rv s="0">
    <fb>417.3</fb>
    <v>1</v>
  </rv>
  <rv s="0">
    <fb>44319</fb>
    <v>0</v>
  </rv>
  <rv s="0">
    <fb>87.59</fb>
    <v>1</v>
  </rv>
  <rv s="0">
    <fb>422.12</fb>
    <v>1</v>
  </rv>
  <rv s="0">
    <fb>44326</fb>
    <v>0</v>
  </rv>
  <rv s="0">
    <fb>89.24</fb>
    <v>1</v>
  </rv>
  <rv s="0">
    <fb>416.58</fb>
    <v>1</v>
  </rv>
  <rv s="0">
    <fb>44333</fb>
    <v>0</v>
  </rv>
  <rv s="0">
    <fb>84.98</fb>
    <v>1</v>
  </rv>
  <rv s="0">
    <fb>414.94</fb>
    <v>1</v>
  </rv>
  <rv s="0">
    <fb>44340</fb>
    <v>0</v>
  </rv>
  <rv s="0">
    <fb>82.31</fb>
    <v>1</v>
  </rv>
  <rv s="0">
    <fb>420.04</fb>
    <v>1</v>
  </rv>
  <rv s="0">
    <fb>44348</fb>
    <v>0</v>
  </rv>
  <rv s="0">
    <fb>85.7</fb>
    <v>1</v>
  </rv>
  <rv s="0">
    <fb>422.6</fb>
    <v>1</v>
  </rv>
  <rv s="0">
    <fb>44354</fb>
    <v>0</v>
  </rv>
  <rv s="0">
    <fb>83.61</fb>
    <v>1</v>
  </rv>
  <rv s="0">
    <fb>424.31</fb>
    <v>1</v>
  </rv>
  <rv s="0">
    <fb>44361</fb>
    <v>0</v>
  </rv>
  <rv s="0">
    <fb>79.69</fb>
    <v>1</v>
  </rv>
  <rv s="0">
    <fb>414.92</fb>
    <v>1</v>
  </rv>
  <rv s="0">
    <fb>44368</fb>
    <v>0</v>
  </rv>
  <rv s="0">
    <fb>81.87</fb>
    <v>1</v>
  </rv>
  <rv s="0">
    <fb>426.61</fb>
    <v>1</v>
  </rv>
  <rv s="0">
    <fb>44375</fb>
    <v>0</v>
  </rv>
  <rv s="0">
    <fb>81.98</fb>
    <v>1</v>
  </rv>
  <rv s="0">
    <fb>433.72</fb>
    <v>1</v>
  </rv>
  <rv s="0">
    <fb>44383</fb>
    <v>0</v>
  </rv>
  <rv s="0">
    <fb>82.07</fb>
    <v>1</v>
  </rv>
  <rv s="0">
    <fb>435.52</fb>
    <v>1</v>
  </rv>
  <rv s="0">
    <fb>44389</fb>
    <v>0</v>
  </rv>
  <rv s="0">
    <fb>79.03</fb>
    <v>1</v>
  </rv>
  <rv s="0">
    <fb>431.34</fb>
    <v>1</v>
  </rv>
  <rv s="0">
    <fb>44396</fb>
    <v>0</v>
  </rv>
  <rv s="0">
    <fb>80.040000000000006</fb>
    <v>1</v>
  </rv>
  <rv s="0">
    <fb>439.94</fb>
    <v>1</v>
  </rv>
  <rv s="0">
    <fb>44403</fb>
    <v>0</v>
  </rv>
  <rv s="0">
    <fb>84.94</fb>
    <v>1</v>
  </rv>
  <rv s="0">
    <fb>438.51</fb>
    <v>1</v>
  </rv>
  <rv s="0">
    <fb>44410</fb>
    <v>0</v>
  </rv>
  <rv s="0">
    <fb>82.42</fb>
    <v>1</v>
  </rv>
  <rv s="0">
    <fb>442.49</fb>
    <v>1</v>
  </rv>
  <rv s="0">
    <fb>44417</fb>
    <v>0</v>
  </rv>
  <rv s="0">
    <fb>84.23</fb>
    <v>1</v>
  </rv>
  <rv s="0">
    <fb>445.92</fb>
    <v>1</v>
  </rv>
  <rv s="0">
    <fb>44424</fb>
    <v>0</v>
  </rv>
  <rv s="0">
    <fb>77.569999999999993</fb>
    <v>1</v>
  </rv>
  <rv s="0">
    <fb>443.36</fb>
    <v>1</v>
  </rv>
  <rv s="0">
    <fb>44431</fb>
    <v>0</v>
  </rv>
  <rv s="0">
    <fb>82.05</fb>
    <v>1</v>
  </rv>
  <rv s="0">
    <fb>450.25</fb>
    <v>1</v>
  </rv>
  <rv s="0">
    <fb>44438</fb>
    <v>0</v>
  </rv>
  <rv s="0">
    <fb>78.8</fb>
    <v>1</v>
  </rv>
  <rv s="0">
    <fb>453.08</fb>
    <v>1</v>
  </rv>
  <rv s="0">
    <fb>44446</fb>
    <v>0</v>
  </rv>
  <rv s="0">
    <fb>73.64</fb>
    <v>1</v>
  </rv>
  <rv s="0">
    <fb>445.44</fb>
    <v>1</v>
  </rv>
  <rv s="0">
    <fb>44452</fb>
    <v>0</v>
  </rv>
  <rv s="0">
    <fb>71.61</fb>
    <v>1</v>
  </rv>
  <rv s="0">
    <fb>441.4</fb>
    <v>1</v>
  </rv>
  <rv s="0">
    <fb>44459</fb>
    <v>0</v>
  </rv>
  <rv s="0">
    <fb>443.91</fb>
    <v>1</v>
  </rv>
  <rv s="0">
    <fb>44466</fb>
    <v>0</v>
  </rv>
  <rv s="0">
    <fb>74.37</fb>
    <v>1</v>
  </rv>
  <rv s="0">
    <fb>434.24</fb>
    <v>1</v>
  </rv>
  <rv s="0">
    <fb>44473</fb>
    <v>0</v>
  </rv>
  <rv s="0">
    <fb>75.38</fb>
    <v>1</v>
  </rv>
  <rv s="0">
    <fb>437.86</fb>
    <v>1</v>
  </rv>
  <rv s="0">
    <fb>44480</fb>
    <v>0</v>
  </rv>
  <rv s="0">
    <fb>77.95</fb>
    <v>1</v>
  </rv>
  <rv s="0">
    <fb>445.87</fb>
    <v>1</v>
  </rv>
  <rv s="0">
    <fb>44487</fb>
    <v>0</v>
  </rv>
  <rv s="0">
    <fb>78.63</fb>
    <v>1</v>
  </rv>
  <rv s="0">
    <fb>453.12</fb>
    <v>1</v>
  </rv>
  <rv s="0">
    <fb>44494</fb>
    <v>0</v>
  </rv>
  <rv s="0">
    <fb>77.91</fb>
    <v>1</v>
  </rv>
  <rv s="0">
    <fb>459.25</fb>
    <v>1</v>
  </rv>
  <rv s="0">
    <fb>44501</fb>
    <v>0</v>
  </rv>
  <rv s="0">
    <fb>82.17</fb>
    <v>1</v>
  </rv>
  <rv s="0">
    <fb>468.53</fb>
    <v>1</v>
  </rv>
  <rv s="0">
    <fb>44508</fb>
    <v>0</v>
  </rv>
  <rv s="0">
    <fb>83.18</fb>
    <v>1</v>
  </rv>
  <rv s="0">
    <fb>467.27</fb>
    <v>1</v>
  </rv>
  <rv s="0">
    <fb>44515</fb>
    <v>0</v>
  </rv>
  <rv s="0">
    <fb>78.83</fb>
    <v>1</v>
  </rv>
  <rv s="0">
    <fb>468.89</fb>
    <v>1</v>
  </rv>
  <rv s="0">
    <fb>44522</fb>
    <v>0</v>
  </rv>
  <rv s="0">
    <fb>74.3</fb>
    <v>1</v>
  </rv>
  <rv s="0">
    <fb>458.97</fb>
    <v>1</v>
  </rv>
  <rv s="0">
    <fb>44529</fb>
    <v>0</v>
  </rv>
  <rv s="0">
    <fb>72.77</fb>
    <v>1</v>
  </rv>
  <rv s="0">
    <fb>453.42</fb>
    <v>1</v>
  </rv>
  <rv s="0">
    <fb>44536</fb>
    <v>0</v>
  </rv>
  <rv s="0">
    <fb>73.900000000000006</fb>
    <v>1</v>
  </rv>
  <rv s="0">
    <fb>470.74</fb>
    <v>1</v>
  </rv>
  <rv s="0">
    <fb>44543</fb>
    <v>0</v>
  </rv>
  <rv s="0">
    <fb>71.87</fb>
    <v>1</v>
  </rv>
  <rv s="0">
    <fb>459.87</fb>
    <v>1</v>
  </rv>
  <rv s="0">
    <fb>44550</fb>
    <v>0</v>
  </rv>
  <rv s="0">
    <fb>71.94</fb>
    <v>1</v>
  </rv>
  <rv s="0">
    <fb>470.6</fb>
    <v>1</v>
  </rv>
  <rv s="0">
    <fb>44557</fb>
    <v>0</v>
  </rv>
  <rv s="0">
    <fb>71.7</fb>
    <v>1</v>
  </rv>
  <rv s="0">
    <fb>474.96</fb>
    <v>1</v>
  </rv>
  <rv s="0">
    <fb>44564</fb>
    <v>0</v>
  </rv>
  <rv s="0">
    <fb>73.599999999999994</fb>
    <v>1</v>
  </rv>
  <rv s="0">
    <fb>466.09</fb>
    <v>1</v>
  </rv>
  <rv s="0">
    <fb>44571</fb>
    <v>0</v>
  </rv>
  <rv s="0">
    <fb>73.97</fb>
    <v>1</v>
  </rv>
  <rv s="0">
    <fb>464.72</fb>
    <v>1</v>
  </rv>
  <rv s="0">
    <fb>44579</fb>
    <v>0</v>
  </rv>
  <rv s="0">
    <fb>68.64</fb>
    <v>1</v>
  </rv>
  <rv s="0">
    <fb>437.98</fb>
    <v>1</v>
  </rv>
  <rv s="0">
    <fb>44585</fb>
    <v>0</v>
  </rv>
  <rv s="0">
    <fb>64.95</fb>
    <v>1</v>
  </rv>
  <rv s="0">
    <fb>441.95</fb>
    <v>1</v>
  </rv>
  <rv s="0">
    <fb>44592</fb>
    <v>0</v>
  </rv>
  <rv s="0">
    <fb>63.18</fb>
    <v>1</v>
  </rv>
  <rv s="0">
    <fb>448.7</fb>
    <v>1</v>
  </rv>
  <rv s="0">
    <fb>44599</fb>
    <v>0</v>
  </rv>
  <rv s="0">
    <fb>64.78</fb>
    <v>1</v>
  </rv>
  <rv s="0">
    <fb>440.46</fb>
    <v>1</v>
  </rv>
  <rv s="0">
    <fb>44606</fb>
    <v>0</v>
  </rv>
  <rv s="0">
    <fb>66.47</fb>
    <v>1</v>
  </rv>
  <rv s="0">
    <fb>434.23</fb>
    <v>1</v>
  </rv>
  <rv s="0">
    <fb>44614</fb>
    <v>0</v>
  </rv>
  <rv s="0">
    <fb>68.59</fb>
    <v>1</v>
  </rv>
  <rv s="0">
    <fb>437.75</fb>
    <v>1</v>
  </rv>
  <rv s="0">
    <fb>44620</fb>
    <v>0</v>
  </rv>
  <rv s="0">
    <fb>63.09</fb>
    <v>1</v>
  </rv>
  <rv s="0">
    <fb>432.17</fb>
    <v>1</v>
  </rv>
  <rv s="0">
    <fb>44627</fb>
    <v>0</v>
  </rv>
  <rv s="0">
    <fb>63.61</fb>
    <v>1</v>
  </rv>
  <rv s="0">
    <fb>420.07</fb>
    <v>1</v>
  </rv>
  <rv s="0">
    <fb>44634</fb>
    <v>0</v>
  </rv>
  <rv s="0">
    <fb>64.5</fb>
    <v>1</v>
  </rv>
  <rv s="0">
    <fb>444.52</fb>
    <v>1</v>
  </rv>
  <rv s="0">
    <fb>44641</fb>
    <v>0</v>
  </rv>
  <rv s="0">
    <fb>65.16</fb>
    <v>1</v>
  </rv>
  <rv s="0">
    <fb>452.69</fb>
    <v>1</v>
  </rv>
  <rv s="0">
    <fb>44648</fb>
    <v>0</v>
  </rv>
  <rv s="0">
    <fb>64.91</fb>
    <v>1</v>
  </rv>
  <rv s="0">
    <fb>452.92</fb>
    <v>1</v>
  </rv>
  <rv s="0">
    <fb>44655</fb>
    <v>0</v>
  </rv>
  <rv s="0">
    <fb>62.38</fb>
    <v>1</v>
  </rv>
  <rv s="0">
    <fb>447.57</fb>
    <v>1</v>
  </rv>
  <rv s="0">
    <fb>44662</fb>
    <v>0</v>
  </rv>
  <rv s="0">
    <fb>62.35</fb>
    <v>1</v>
  </rv>
  <rv s="0">
    <fb>437.79</fb>
    <v>1</v>
  </rv>
  <rv s="0">
    <fb>44669</fb>
    <v>0</v>
  </rv>
  <rv s="0">
    <fb>61.2</fb>
    <v>1</v>
  </rv>
  <rv s="0">
    <fb>426.04</fb>
    <v>1</v>
  </rv>
  <rv s="0">
    <fb>44676</fb>
    <v>0</v>
  </rv>
  <rv s="0">
    <fb>59.9</fb>
    <v>1</v>
  </rv>
  <rv s="0">
    <fb>412</fb>
    <v>1</v>
  </rv>
  <rv s="0">
    <fb>44683</fb>
    <v>0</v>
  </rv>
  <rv s="0">
    <fb>67.69</fb>
    <v>1</v>
  </rv>
  <rv s="0">
    <fb>411.34</fb>
    <v>1</v>
  </rv>
  <rv s="0">
    <fb>44690</fb>
    <v>0</v>
  </rv>
  <rv s="0">
    <fb>65.790000000000006</fb>
    <v>1</v>
  </rv>
  <rv s="0">
    <fb>401.72</fb>
    <v>1</v>
  </rv>
  <rv s="0">
    <fb>44697</fb>
    <v>0</v>
  </rv>
  <rv s="0">
    <fb>67.569999999999993</fb>
    <v>1</v>
  </rv>
  <rv s="0">
    <fb>389.63</fb>
    <v>1</v>
  </rv>
  <rv s="0">
    <fb>44704</fb>
    <v>0</v>
  </rv>
  <rv s="0">
    <fb>70.25</fb>
    <v>1</v>
  </rv>
  <rv s="0">
    <fb>415.26</fb>
    <v>1</v>
  </rv>
  <rv s="0">
    <fb>44712</fb>
    <v>0</v>
  </rv>
  <rv s="0">
    <fb>72.38</fb>
    <v>1</v>
  </rv>
  <rv s="0">
    <fb>410.54</fb>
    <v>1</v>
  </rv>
  <rv s="0">
    <fb>44718</fb>
    <v>0</v>
  </rv>
  <rv s="0">
    <fb>70.55</fb>
    <v>1</v>
  </rv>
  <rv s="0">
    <fb>389.8</fb>
    <v>1</v>
  </rv>
  <rv s="0">
    <fb>44725</fb>
    <v>0</v>
  </rv>
  <rv s="0">
    <fb>61.4</fb>
    <v>1</v>
  </rv>
  <rv s="0">
    <fb>365.86</fb>
    <v>1</v>
  </rv>
  <rv s="0">
    <fb>44733</fb>
    <v>0</v>
  </rv>
  <rv s="0">
    <fb>64.040000000000006</fb>
    <v>1</v>
  </rv>
  <rv s="0">
    <fb>390.08</fb>
    <v>1</v>
  </rv>
  <rv s="0">
    <fb>44739</fb>
    <v>0</v>
  </rv>
  <rv s="0">
    <fb>63.47</fb>
    <v>1</v>
  </rv>
  <rv s="0">
    <fb>381.24</fb>
    <v>1</v>
  </rv>
  <rv s="0">
    <fb>44747</fb>
    <v>0</v>
  </rv>
  <rv s="0">
    <fb>63.69</fb>
    <v>1</v>
  </rv>
  <rv s="0">
    <fb>388.67</fb>
    <v>1</v>
  </rv>
  <rv s="0">
    <fb>44753</fb>
    <v>0</v>
  </rv>
  <rv s="0">
    <fb>61.78</fb>
    <v>1</v>
  </rv>
  <rv s="0">
    <fb>385.13</fb>
    <v>1</v>
  </rv>
  <rv s="0">
    <fb>44760</fb>
    <v>0</v>
  </rv>
  <rv s="0">
    <fb>63.24</fb>
    <v>1</v>
  </rv>
  <rv s="0">
    <fb>395.09</fb>
    <v>1</v>
  </rv>
  <rv s="0">
    <fb>44767</fb>
    <v>0</v>
  </rv>
  <rv s="0">
    <fb>67.099999999999994</fb>
    <v>1</v>
  </rv>
  <rv s="0">
    <fb>411.99</fb>
    <v>1</v>
  </rv>
  <rv s="0">
    <fb>44774</fb>
    <v>0</v>
  </rv>
  <rv s="0">
    <fb>68.72</fb>
    <v>1</v>
  </rv>
  <rv s="0">
    <fb>413.47</fb>
    <v>1</v>
  </rv>
  <rv s="0">
    <fb>44781</fb>
    <v>0</v>
  </rv>
  <rv s="0">
    <fb>75.11</fb>
    <v>1</v>
  </rv>
  <rv s="0">
    <fb>427.1</fb>
    <v>1</v>
  </rv>
  <rv s="0">
    <fb>44788</fb>
    <v>0</v>
  </rv>
  <rv s="0">
    <fb>73.03</fb>
    <v>1</v>
  </rv>
  <rv s="0">
    <fb>422.14</fb>
    <v>1</v>
  </rv>
  <rv s="0">
    <fb>44795</fb>
    <v>0</v>
  </rv>
  <rv s="0">
    <fb>72.040000000000006</fb>
    <v>1</v>
  </rv>
  <rv s="0">
    <fb>405.31</fb>
    <v>1</v>
  </rv>
  <rv s="0">
    <fb>44802</fb>
    <v>0</v>
  </rv>
  <rv s="0">
    <fb>69.41</fb>
    <v>1</v>
  </rv>
  <rv s="0">
    <fb>392.24</fb>
    <v>1</v>
  </rv>
  <rv s="0">
    <fb>44810</fb>
    <v>0</v>
  </rv>
  <rv s="0">
    <fb>70.31</fb>
    <v>1</v>
  </rv>
  <rv s="0">
    <fb>406.6</fb>
    <v>1</v>
  </rv>
  <rv s="0">
    <fb>44816</fb>
    <v>0</v>
  </rv>
  <rv s="0">
    <fb>385.56</fb>
    <v>1</v>
  </rv>
  <rv s="0">
    <fb>44823</fb>
    <v>0</v>
  </rv>
  <rv s="0">
    <fb>61.36</fb>
    <v>1</v>
  </rv>
  <rv s="0">
    <fb>367.95</fb>
    <v>1</v>
  </rv>
  <rv s="0">
    <fb>44830</fb>
    <v>0</v>
  </rv>
  <rv s="0">
    <fb>60.63</fb>
    <v>1</v>
  </rv>
  <rv s="0">
    <fb>357.18</fb>
    <v>1</v>
  </rv>
  <rv s="0">
    <fb>44837</fb>
    <v>0</v>
  </rv>
  <rv s="0">
    <fb>62.06</fb>
    <v>1</v>
  </rv>
  <rv s="0">
    <fb>362.79</fb>
    <v>1</v>
  </rv>
  <rv s="0">
    <fb>44844</fb>
    <v>0</v>
  </rv>
  <rv s="0">
    <fb>61.39</fb>
    <v>1</v>
  </rv>
  <rv s="0">
    <fb>357.63</fb>
    <v>1</v>
  </rv>
  <rv s="0">
    <fb>44851</fb>
    <v>0</v>
  </rv>
  <rv s="0">
    <fb>64.75</fb>
    <v>1</v>
  </rv>
  <rv s="0">
    <fb>374.29</fb>
    <v>1</v>
  </rv>
  <rv s="0">
    <fb>44858</fb>
    <v>0</v>
  </rv>
  <rv s="0">
    <fb>66.260000000000005</fb>
    <v>1</v>
  </rv>
  <rv s="0">
    <fb>389.02</fb>
    <v>1</v>
  </rv>
  <rv s="0">
    <fb>44865</fb>
    <v>0</v>
  </rv>
  <rv s="0">
    <fb>74.36</fb>
    <v>1</v>
  </rv>
  <rv s="0">
    <fb>376.35</fb>
    <v>1</v>
  </rv>
  <rv s="0">
    <fb>44872</fb>
    <v>0</v>
  </rv>
  <rv s="0">
    <fb>78.69</fb>
    <v>1</v>
  </rv>
  <rv s="0">
    <fb>398.51</fb>
    <v>1</v>
  </rv>
  <rv s="0">
    <fb>44879</fb>
    <v>0</v>
  </rv>
  <rv s="0">
    <fb>77</fb>
    <v>1</v>
  </rv>
  <rv s="0">
    <fb>396.03</fb>
    <v>1</v>
  </rv>
  <rv s="0">
    <fb>44886</fb>
    <v>0</v>
  </rv>
  <rv s="0">
    <fb>78.400000000000006</fb>
    <v>1</v>
  </rv>
  <rv s="0">
    <fb>402.33</fb>
    <v>1</v>
  </rv>
  <rv s="0">
    <fb>44893</fb>
    <v>0</v>
  </rv>
  <rv s="0">
    <fb>406.91</fb>
    <v>1</v>
  </rv>
  <rv s="0">
    <fb>44900</fb>
    <v>0</v>
  </rv>
  <rv s="0">
    <fb>71.959999999999994</fb>
    <v>1</v>
  </rv>
  <rv s="0">
    <fb>393.28</fb>
    <v>1</v>
  </rv>
  <rv s="0">
    <fb>44907</fb>
    <v>0</v>
  </rv>
  <rv s="0">
    <fb>69.45</fb>
    <v>1</v>
  </rv>
  <rv s="0">
    <fb>383.27</fb>
    <v>1</v>
  </rv>
  <rv s="0">
    <fb>44914</fb>
    <v>0</v>
  </rv>
  <rv s="0">
    <fb>70.599999999999994</fb>
    <v>1</v>
  </rv>
  <rv s="0">
    <fb>382.91</fb>
    <v>1</v>
  </rv>
  <rv s="0">
    <fb>44922</fb>
    <v>0</v>
  </rv>
  <rv s="0">
    <fb>70.44</fb>
    <v>1</v>
  </rv>
  <rv s="0">
    <fb>382.43</fb>
    <v>1</v>
  </rv>
  <rv s="0">
    <fb>44929</fb>
    <v>0</v>
  </rv>
  <rv s="0">
    <fb>74.14</fb>
    <v>1</v>
  </rv>
  <rv s="0">
    <fb>388.08</fb>
    <v>1</v>
  </rv>
  <rv s="0">
    <fb>44935</fb>
    <v>0</v>
  </rv>
  <rv s="0">
    <fb>81.64</fb>
    <v>1</v>
  </rv>
  <rv s="0">
    <fb>398.5</fb>
    <v>1</v>
  </rv>
  <rv s="0">
    <fb>44943</fb>
    <v>0</v>
  </rv>
  <rv s="0">
    <fb>80.489999999999995</fb>
    <v>1</v>
  </rv>
  <rv s="0">
    <fb>395.88</fb>
    <v>1</v>
  </rv>
  <rv s="0">
    <fb>44949</fb>
    <v>0</v>
  </rv>
  <rv s="0">
    <fb>80.39</fb>
    <v>1</v>
  </rv>
  <rv s="0">
    <fb>405.68</fb>
    <v>1</v>
  </rv>
  <rv s="0">
    <fb>44956</fb>
    <v>0</v>
  </rv>
  <rv s="0">
    <fb>86.93</fb>
    <v>1</v>
  </rv>
  <rv s="0">
    <fb>412.35</fb>
    <v>1</v>
  </rv>
  <rv s="0">
    <fb>44963</fb>
    <v>0</v>
  </rv>
  <rv s="0">
    <fb>87.81</fb>
    <v>1</v>
  </rv>
  <rv s="0">
    <fb>408.04</fb>
    <v>1</v>
  </rv>
  <rv s="0">
    <fb>44970</fb>
    <v>0</v>
  </rv>
  <rv s="0">
    <fb>90.75</fb>
    <v>1</v>
  </rv>
  <rv s="0">
    <fb>407.26</fb>
    <v>1</v>
  </rv>
  <rv s="0">
    <fb>44978</fb>
    <v>0</v>
  </rv>
  <rv s="0">
    <fb>88.56</fb>
    <v>1</v>
  </rv>
  <rv s="0">
    <fb>396.38</fb>
    <v>1</v>
  </rv>
  <rv s="0">
    <fb>44984</fb>
    <v>0</v>
  </rv>
  <rv s="0">
    <fb>81.69</fb>
    <v>1</v>
  </rv>
  <rv s="0">
    <fb>404.19</fb>
    <v>1</v>
  </rv>
  <rv s="0">
    <fb>44991</fb>
    <v>0</v>
  </rv>
  <rv s="0">
    <fb>71.42</fb>
    <v>1</v>
  </rv>
  <rv s="0">
    <fb>385.91</fb>
    <v>1</v>
  </rv>
  <rv s="0">
    <fb>44998</fb>
    <v>0</v>
  </rv>
  <rv s="0">
    <fb>68.89</fb>
    <v>1</v>
  </rv>
  <rv s="0">
    <fb>389.99</fb>
    <v>1</v>
  </rv>
  <rv s="0">
    <fb>45005</fb>
    <v>0</v>
  </rv>
  <rv s="0">
    <fb>69.09</fb>
    <v>1</v>
  </rv>
  <rv s="0">
    <fb>395.75</fb>
    <v>1</v>
  </rv>
  <rv s="0">
    <fb>45012</fb>
    <v>0</v>
  </rv>
  <rv s="0">
    <fb>71.52</fb>
    <v>1</v>
  </rv>
  <rv s="0">
    <fb>409.39</fb>
    <v>1</v>
  </rv>
  <rv s="0">
    <fb>45019</fb>
    <v>0</v>
  </rv>
  <rv s="0">
    <fb>69.56</fb>
    <v>1</v>
  </rv>
  <rv s="0">
    <fb>409.19</fb>
    <v>1</v>
  </rv>
  <rv s="0">
    <fb>45026</fb>
    <v>0</v>
  </rv>
  <rv s="0">
    <fb>72.72</fb>
    <v>1</v>
  </rv>
  <rv s="0">
    <fb>412.46</fb>
    <v>1</v>
  </rv>
  <rv s="0">
    <fb>45033</fb>
    <v>0</v>
  </rv>
  <rv s="0">
    <fb>71.22</fb>
    <v>1</v>
  </rv>
  <rv s="0">
    <fb>412.2</fb>
    <v>1</v>
  </rv>
  <rv s="0">
    <fb>45040</fb>
    <v>0</v>
  </rv>
  <rv s="0">
    <fb>71.739999999999995</fb>
    <v>1</v>
  </rv>
  <rv s="0">
    <fb>415.93</fb>
    <v>1</v>
  </rv>
  <rv s="0">
    <fb>45047</fb>
    <v>0</v>
  </rv>
  <rv s="0">
    <fb>60.57</fb>
    <v>1</v>
  </rv>
  <rv s="0">
    <fb>412.63</fb>
    <v>1</v>
  </rv>
  <rv s="0">
    <fb>45054</fb>
    <v>0</v>
  </rv>
  <rv s="0">
    <fb>54.5</fb>
    <v>1</v>
  </rv>
  <rv s="0">
    <fb>411.59</fb>
    <v>1</v>
  </rv>
  <rv s="0">
    <fb>45061</fb>
    <v>0</v>
  </rv>
  <rv s="0">
    <fb>50.59</fb>
    <v>1</v>
  </rv>
  <rv s="0">
    <fb>418.62</fb>
    <v>1</v>
  </rv>
  <rv s="0">
    <fb>45068</fb>
    <v>0</v>
  </rv>
  <rv s="0">
    <fb>49.86</fb>
    <v>1</v>
  </rv>
  <rv s="0">
    <fb>420.02</fb>
    <v>1</v>
  </rv>
  <rv s="0">
    <fb>45076</fb>
    <v>0</v>
  </rv>
  <rv s="0">
    <fb>51.81</fb>
    <v>1</v>
  </rv>
  <rv s="0">
    <fb>427.92</fb>
    <v>1</v>
  </rv>
  <rv s="0">
    <fb>45082</fb>
    <v>0</v>
  </rv>
  <rv s="0">
    <fb>53.9</fb>
    <v>1</v>
  </rv>
  <rv s="0">
    <fb>429.9</fb>
    <v>1</v>
  </rv>
  <rv s="0">
    <fb>45089</fb>
    <v>0</v>
  </rv>
  <rv s="0">
    <fb>54.39</fb>
    <v>1</v>
  </rv>
  <rv s="0">
    <fb>439.46</fb>
    <v>1</v>
  </rv>
  <rv s="0">
    <fb>45097</fb>
    <v>0</v>
  </rv>
  <rv s="0">
    <fb>51.92</fb>
    <v>1</v>
  </rv>
  <rv s="0">
    <fb>433.21</fb>
    <v>1</v>
  </rv>
  <rv s="0">
    <fb>45103</fb>
    <v>0</v>
  </rv>
  <rv s="0">
    <fb>58.16</fb>
    <v>1</v>
  </rv>
  <rv s="0">
    <fb>443.28</fb>
    <v>1</v>
  </rv>
  <rv s="0">
    <fb>45110</fb>
    <v>0</v>
  </rv>
  <rv s="0">
    <fb>58.61</fb>
    <v>1</v>
  </rv>
  <rv s="0">
    <fb>438.55</fb>
    <v>1</v>
  </rv>
  <rv s="0">
    <fb>45117</fb>
    <v>0</v>
  </rv>
  <rv s="0">
    <fb>60.25</fb>
    <v>1</v>
  </rv>
  <rv s="0">
    <fb>449.28</fb>
    <v>1</v>
  </rv>
  <rv s="0">
    <fb>45124</fb>
    <v>0</v>
  </rv>
  <rv s="0">
    <fb>61.61</fb>
    <v>1</v>
  </rv>
  <rv s="0">
    <fb>452.18</fb>
    <v>1</v>
  </rv>
  <rv s="0">
    <fb>45131</fb>
    <v>0</v>
  </rv>
  <rv s="0">
    <fb>63.38</fb>
    <v>1</v>
  </rv>
  <rv s="0">
    <fb>456.92</fb>
    <v>1</v>
  </rv>
  <rv s="0">
    <fb>45138</fb>
    <v>0</v>
  </rv>
  <rv s="0">
    <fb>446.81</fb>
    <v>1</v>
  </rv>
  <rv s="0">
    <fb>45145</fb>
    <v>0</v>
  </rv>
  <rv s="0">
    <fb>52.91</fb>
    <v>1</v>
  </rv>
  <rv s="0">
    <fb>445.65</fb>
    <v>1</v>
  </rv>
  <rv s="0">
    <fb>45152</fb>
    <v>0</v>
  </rv>
  <rv s="0">
    <fb>51.65</fb>
    <v>1</v>
  </rv>
  <rv s="0">
    <fb>436.5</fb>
    <v>1</v>
  </rv>
  <rv s="0">
    <fb>45159</fb>
    <v>0</v>
  </rv>
  <rv s="0">
    <fb>51.58</fb>
    <v>1</v>
  </rv>
  <rv s="0">
    <fb>439.97</fb>
    <v>1</v>
  </rv>
  <rv s="0">
    <fb>45166</fb>
    <v>0</v>
  </rv>
  <rv s="0">
    <fb>54.65</fb>
    <v>1</v>
  </rv>
  <rv s="0">
    <fb>451.19</fb>
    <v>1</v>
  </rv>
  <rv s="0">
    <fb>45174</fb>
    <v>0</v>
  </rv>
  <rv s="0">
    <fb>50.13</fb>
    <v>1</v>
  </rv>
  <rv s="0">
    <fb>445.52</fb>
    <v>1</v>
  </rv>
  <rv s="0">
    <fb>45180</fb>
    <v>0</v>
  </rv>
  <rv s="0">
    <fb>50.69</fb>
    <v>1</v>
  </rv>
  <rv s="0">
    <fb>443.37</fb>
    <v>1</v>
  </rv>
  <rv s="0">
    <fb>45187</fb>
    <v>0</v>
  </rv>
  <rv s="0">
    <fb>46.86</fb>
    <v>1</v>
  </rv>
  <rv s="0">
    <fb>430.42</fb>
    <v>1</v>
  </rv>
  <rv s="0">
    <fb>45194</fb>
    <v>0</v>
  </rv>
  <rv s="0">
    <fb>47.61</fb>
    <v>1</v>
  </rv>
  <rv s="0">
    <fb>427.48</fb>
    <v>1</v>
  </rv>
  <rv s="0">
    <fb>45201</fb>
    <v>0</v>
  </rv>
  <rv s="0">
    <fb>42.25</fb>
    <v>1</v>
  </rv>
  <rv s="0">
    <fb>429.54</fb>
    <v>1</v>
  </rv>
  <rv s="0">
    <fb>45208</fb>
    <v>0</v>
  </rv>
  <rv s="0">
    <fb>40.39</fb>
    <v>1</v>
  </rv>
  <rv s="0">
    <fb>431.5</fb>
    <v>1</v>
  </rv>
  <rv s="0">
    <fb>45215</fb>
    <v>0</v>
  </rv>
  <rv s="0">
    <fb>40.57</fb>
    <v>1</v>
  </rv>
  <rv s="0">
    <fb>421.19</fb>
    <v>1</v>
  </rv>
  <rv s="0">
    <fb>45222</fb>
    <v>0</v>
  </rv>
  <rv s="0">
    <fb>39.49</fb>
    <v>1</v>
  </rv>
  <rv s="0">
    <fb>410.68</fb>
    <v>1</v>
  </rv>
  <rv s="0">
    <fb>45229</fb>
    <v>0</v>
  </rv>
  <rv s="0">
    <fb>42.81</fb>
    <v>1</v>
  </rv>
  <rv s="0">
    <fb>434.69</fb>
    <v>1</v>
  </rv>
  <rv s="0">
    <fb>45236</fb>
    <v>0</v>
  </rv>
  <rv s="0">
    <fb>37.93</fb>
    <v>1</v>
  </rv>
  <rv s="0">
    <fb>440.61</fb>
    <v>1</v>
  </rv>
  <rv s="0">
    <fb>45243</fb>
    <v>0</v>
  </rv>
  <rv s="0">
    <fb>40.15</fb>
    <v>1</v>
  </rv>
  <rv s="0">
    <fb>450.79</fb>
    <v>1</v>
  </rv>
  <rv s="0">
    <fb>45250</fb>
    <v>0</v>
  </rv>
  <rv s="0">
    <fb>39.79</fb>
    <v>1</v>
  </rv>
  <rv s="0">
    <fb>455.3</fb>
    <v>1</v>
  </rv>
  <rv s="0">
    <fb>45257</fb>
    <v>0</v>
  </rv>
  <rv s="0">
    <fb>40.72</fb>
    <v>1</v>
  </rv>
  <rv s="0">
    <fb>459.1</fb>
    <v>1</v>
  </rv>
  <rv s="0">
    <fb>45264</fb>
    <v>0</v>
  </rv>
  <rv s="0">
    <fb>41.74</fb>
    <v>1</v>
  </rv>
  <rv s="0">
    <fb>460.2</fb>
    <v>1</v>
  </rv>
  <rv s="0">
    <fb>45271</fb>
    <v>0</v>
  </rv>
  <rv s="0">
    <fb>45.78</fb>
    <v>1</v>
  </rv>
  <rv s="0">
    <fb>469.33</fb>
    <v>1</v>
  </rv>
  <rv s="0">
    <fb>45278</fb>
    <v>0</v>
  </rv>
  <rv s="0">
    <fb>47.82</fb>
    <v>1</v>
  </rv>
  <rv s="0">
    <fb>473.65</fb>
    <v>1</v>
  </rv>
  <rv s="0">
    <fb>45286</fb>
    <v>0</v>
  </rv>
  <rv s="0">
    <fb>47.22</fb>
    <v>1</v>
  </rv>
  <rv s="0">
    <fb>475.31</fb>
    <v>1</v>
  </rv>
  <rv s="0">
    <fb>45293</fb>
    <v>0</v>
  </rv>
  <rv s="0">
    <fb>43.3</fb>
    <v>1</v>
  </rv>
  <rv s="0">
    <fb>467.92</fb>
    <v>1</v>
  </rv>
  <rv s="0">
    <fb>45299</fb>
    <v>0</v>
  </rv>
  <rv s="0">
    <fb>41.43</fb>
    <v>1</v>
  </rv>
  <rv s="0">
    <fb>476.68</fb>
    <v>1</v>
  </rv>
  <rv s="0">
    <fb>45307</fb>
    <v>0</v>
  </rv>
  <rv s="0">
    <fb>40.86</fb>
    <v>1</v>
  </rv>
  <rv s="0">
    <fb>482.43</fb>
    <v>1</v>
  </rv>
  <rv s="0">
    <fb>45313</fb>
    <v>0</v>
  </rv>
  <rv s="0">
    <fb>45.9</fb>
    <v>1</v>
  </rv>
  <rv s="0">
    <fb>487.41</fb>
    <v>1</v>
  </rv>
  <rv s="0">
    <fb>45320</fb>
    <v>0</v>
  </rv>
  <rv s="0">
    <fb>43.8</fb>
    <v>1</v>
  </rv>
  <rv s="0">
    <fb>494.35</fb>
    <v>1</v>
  </rv>
  <rv s="0">
    <fb>45327</fb>
    <v>0</v>
  </rv>
  <rv s="0">
    <fb>44.85</fb>
    <v>1</v>
  </rv>
  <rv s="0">
    <fb>501.2</fb>
    <v>1</v>
  </rv>
  <rv s="0">
    <fb>45334</fb>
    <v>0</v>
  </rv>
  <rv s="0">
    <fb>47.66</fb>
    <v>1</v>
  </rv>
  <rv s="0">
    <fb>499.51</fb>
    <v>1</v>
  </rv>
  <rv s="0">
    <fb>45342</fb>
    <v>0</v>
  </rv>
  <rv s="0">
    <fb>48.95</fb>
    <v>1</v>
  </rv>
  <rv s="0">
    <fb>507.85</fb>
    <v>1</v>
  </rv>
  <rv s="0">
    <fb>45348</fb>
    <v>0</v>
  </rv>
  <rv s="0">
    <fb>45.27</fb>
    <v>1</v>
  </rv>
  <rv s="0">
    <fb>512.85</fb>
    <v>1</v>
  </rv>
  <rv s="0">
    <fb>45355</fb>
    <v>0</v>
  </rv>
  <rv s="0">
    <fb>46</fb>
    <v>1</v>
  </rv>
  <rv s="0">
    <fb>511.72</fb>
    <v>1</v>
  </rv>
  <rv s="0">
    <fb>45362</fb>
    <v>0</v>
  </rv>
  <rv s="0">
    <fb>509.83</fb>
    <v>1</v>
  </rv>
  <rv s="0">
    <fb>45369</fb>
    <v>0</v>
  </rv>
  <rv s="0">
    <fb>47.4</fb>
    <v>1</v>
  </rv>
  <rv s="0">
    <fb>521.21</fb>
    <v>1</v>
  </rv>
  <rv s="0">
    <fb>45376</fb>
    <v>0</v>
  </rv>
  <rv s="0">
    <fb>47.7</fb>
    <v>1</v>
  </rv>
  <rv s="0">
    <fb>523.07000000000005</fb>
    <v>1</v>
  </rv>
  <rv s="0">
    <fb>45383</fb>
    <v>0</v>
  </rv>
  <rv s="0">
    <fb>46.54</fb>
    <v>1</v>
  </rv>
  <rv s="0">
    <fb>518.42999999999995</fb>
    <v>1</v>
  </rv>
  <rv s="0">
    <fb>45390</fb>
    <v>0</v>
  </rv>
  <rv s="0">
    <fb>510.85</fb>
    <v>1</v>
  </rv>
  <rv s="0">
    <fb>45397</fb>
    <v>0</v>
  </rv>
  <rv s="0">
    <fb>44.44</fb>
    <v>1</v>
  </rv>
  <rv s="0">
    <fb>495.16</fb>
    <v>1</v>
  </rv>
  <rv s="0">
    <fb>45404</fb>
    <v>0</v>
  </rv>
  <rv s="0">
    <fb>48.51</fb>
    <v>1</v>
  </rv>
  <rv s="0">
    <fb>508.26</fb>
    <v>1</v>
  </rv>
  <rv s="0">
    <fb>45411</fb>
    <v>0</v>
  </rv>
  <rv s="0">
    <fb>53.56</fb>
    <v>1</v>
  </rv>
  <rv s="0">
    <fb>511.29</fb>
    <v>1</v>
  </rv>
  <rv s="0">
    <fb>45418</fb>
    <v>0</v>
  </rv>
  <rv s="0">
    <fb>54.48</fb>
    <v>1</v>
  </rv>
  <rv s="0">
    <fb>520.84</fb>
    <v>1</v>
  </rv>
  <rv s="0">
    <fb>45425</fb>
    <v>0</v>
  </rv>
  <rv s="0">
    <fb>53.55</fb>
    <v>1</v>
  </rv>
  <rv s="0">
    <fb>529.45000000000005</fb>
    <v>1</v>
  </rv>
  <rv s="0">
    <fb>45432</fb>
    <v>0</v>
  </rv>
  <rv s="0">
    <fb>47.74</fb>
    <v>1</v>
  </rv>
  <rv s="0">
    <fb>529.44000000000005</fb>
    <v>1</v>
  </rv>
  <rv s="0">
    <fb>45440</fb>
    <v>0</v>
  </rv>
  <rv s="0">
    <fb>48.85</fb>
    <v>1</v>
  </rv>
  <rv s="0">
    <fb>527.37</fb>
    <v>1</v>
  </rv>
  <rv s="0">
    <fb>45446</fb>
    <v>0</v>
  </rv>
  <rv s="0">
    <fb>48.04</fb>
    <v>1</v>
  </rv>
  <rv s="0">
    <fb>534.01</fb>
    <v>1</v>
  </rv>
  <rv s="0">
    <fb>45453</fb>
    <v>0</v>
  </rv>
  <rv s="0">
    <fb>44.91</fb>
    <v>1</v>
  </rv>
  <rv s="0">
    <fb>542.78</fb>
    <v>1</v>
  </rv>
  <rv s="0">
    <fb>45460</fb>
    <v>0</v>
  </rv>
  <rv s="0">
    <fb>43.9</fb>
    <v>1</v>
  </rv>
  <rv s="0">
    <fb>544.51</fb>
    <v>1</v>
  </rv>
  <rv s="0">
    <fb>45467</fb>
    <v>0</v>
  </rv>
  <rv s="0">
    <fb>43.71</fb>
    <v>1</v>
  </rv>
  <rv s="0">
    <fb>544.22</fb>
    <v>1</v>
  </rv>
  <rv s="0">
    <fb>45474</fb>
    <v>0</v>
  </rv>
  <rv s="0">
    <fb>41.29</fb>
    <v>1</v>
  </rv>
  <rv s="0">
    <fb>554.64</fb>
    <v>1</v>
  </rv>
  <rv s="0">
    <fb>45481</fb>
    <v>0</v>
  </rv>
  <rv s="0">
    <fb>44.22</fb>
    <v>1</v>
  </rv>
  <rv s="0">
    <fb>559.99</fb>
    <v>1</v>
  </rv>
  <rv s="0">
    <fb>45488</fb>
    <v>0</v>
  </rv>
  <rv s="0">
    <fb>548.99</fb>
    <v>1</v>
  </rv>
  <rv s="0">
    <fb>45495</fb>
    <v>0</v>
  </rv>
  <rv s="0">
    <fb>46.2</fb>
    <v>1</v>
  </rv>
  <rv s="0">
    <fb>544.44000000000005</fb>
    <v>1</v>
  </rv>
  <rv s="0">
    <fb>45502</fb>
    <v>0</v>
  </rv>
  <rv s="0">
    <fb>41.2</fb>
    <v>1</v>
  </rv>
  <rv s="0">
    <fb>532.9</fb>
    <v>1</v>
  </rv>
  <rv s="0">
    <fb>45509</fb>
    <v>0</v>
  </rv>
  <rv s="0">
    <fb>35.61</fb>
    <v>1</v>
  </rv>
  <rv s="0">
    <fb>532.99</fb>
    <v>1</v>
  </rv>
  <rv s="0">
    <fb>45516</fb>
    <v>0</v>
  </rv>
  <rv s="0">
    <fb>35.97</fb>
    <v>1</v>
  </rv>
  <rv s="0">
    <fb>554.30999999999995</fb>
    <v>1</v>
  </rv>
  <rv s="0">
    <fb>45523</fb>
    <v>0</v>
  </rv>
  <rv s="0">
    <fb>38.44</fb>
    <v>1</v>
  </rv>
  <rv s="0">
    <fb>562.13</fb>
    <v>1</v>
  </rv>
  <rv s="0">
    <fb>45530</fb>
    <v>0</v>
  </rv>
  <rv s="0">
    <fb>39.53</fb>
    <v>1</v>
  </rv>
  <rv s="0">
    <fb>563.67999999999995</fb>
    <v>1</v>
  </rv>
  <rv s="0">
    <fb>45538</fb>
    <v>0</v>
  </rv>
  <rv s="0">
    <fb>35.36</fb>
    <v>1</v>
  </rv>
  <rv s="0">
    <fb>540.36</fb>
    <v>1</v>
  </rv>
  <rv s="0">
    <fb>45544</fb>
    <v>0</v>
  </rv>
  <rv s="0">
    <fb>38.56</fb>
    <v>1</v>
  </rv>
  <rv s="0">
    <fb>562.01</fb>
    <v>1</v>
  </rv>
  <rv s="0">
    <fb>45551</fb>
    <v>0</v>
  </rv>
  <rv s="0">
    <fb>40.04</fb>
    <v>1</v>
  </rv>
  <rv s="0">
    <fb>568.25</fb>
    <v>1</v>
  </rv>
  <rv s="0">
    <fb>45558</fb>
    <v>0</v>
  </rv>
  <rv s="0">
    <fb>40.42</fb>
    <v>1</v>
  </rv>
  <rv s="0">
    <fb>571.47</fb>
    <v>1</v>
  </rv>
  <rv s="0">
    <fb>45565</fb>
    <v>0</v>
  </rv>
  <rv s="0">
    <fb>37.04</fb>
    <v>1</v>
  </rv>
  <rv s="0">
    <fb>572.98</fb>
    <v>1</v>
  </rv>
  <rv s="0">
    <fb>45572</fb>
    <v>0</v>
  </rv>
  <rv s="0">
    <fb>34.229999999999997</fb>
    <v>1</v>
  </rv>
  <rv s="0">
    <fb>579.58000000000004</fb>
    <v>1</v>
  </rv>
  <rv s="0">
    <fb>45579</fb>
    <v>0</v>
  </rv>
  <rv s="0">
    <fb>34.76</fb>
    <v>1</v>
  </rv>
  <rv s="0">
    <fb>584.59</fb>
    <v>1</v>
  </rv>
  <rv s="0">
    <fb>45586</fb>
    <v>0</v>
  </rv>
  <rv s="0">
    <fb>33.65</fb>
    <v>1</v>
  </rv>
  <rv s="0">
    <fb>579.04</fb>
    <v>1</v>
  </rv>
  <rv s="0">
    <fb>45593</fb>
    <v>0</v>
  </rv>
  <rv s="0">
    <fb>42</fb>
    <v>1</v>
  </rv>
  <rv s="0">
    <fb>571.04</fb>
    <v>1</v>
  </rv>
  <rv s="0">
    <fb>45600</fb>
    <v>0</v>
  </rv>
  <rv s="0">
    <fb>45.24</fb>
    <v>1</v>
  </rv>
  <rv s="0">
    <fb>598.19000000000005</fb>
    <v>1</v>
  </rv>
  <rv s="0">
    <fb>45607</fb>
    <v>0</v>
  </rv>
  <rv s="0">
    <fb>45.97</fb>
    <v>1</v>
  </rv>
  <rv s="0">
    <fb>585.75</fb>
    <v>1</v>
  </rv>
  <rv s="0">
    <fb>45614</fb>
    <v>0</v>
  </rv>
  <rv s="0">
    <fb>48.56</fb>
    <v>1</v>
  </rv>
  <rv s="0">
    <fb>595.51</fb>
    <v>1</v>
  </rv>
  <rv s="0">
    <fb>45621</fb>
    <v>0</v>
  </rv>
  <rv s="0">
    <fb>48.57</fb>
    <v>1</v>
  </rv>
  <rv s="0">
    <fb>602.54999999999995</fb>
    <v>1</v>
  </rv>
  <rv s="0">
    <fb>45628</fb>
    <v>0</v>
  </rv>
  <rv s="0">
    <fb>47.11</fb>
    <v>1</v>
  </rv>
  <rv s="0">
    <fb>607.80999999999995</fb>
    <v>1</v>
  </rv>
  <rv s="0">
    <fb>45635</fb>
    <v>0</v>
  </rv>
  <rv s="0">
    <fb>604.21</fb>
    <v>1</v>
  </rv>
  <rv s="0">
    <fb>45642</fb>
    <v>0</v>
  </rv>
  <rv s="0">
    <fb>40.799999999999997</fb>
    <v>1</v>
  </rv>
  <rv s="0">
    <fb>591.15</fb>
    <v>1</v>
  </rv>
  <rv s="0">
    <fb>45649</fb>
    <v>0</v>
  </rv>
  <rv s="0">
    <fb>40.6</fb>
    <v>1</v>
  </rv>
  <rv s="0">
    <fb>595.01</fb>
    <v>1</v>
  </rv>
  <rv s="0">
    <fb>45656</fb>
    <v>0</v>
  </rv>
  <rv s="0">
    <fb>39.86</fb>
    <v>1</v>
  </rv>
  <rv s="0">
    <fb>591.95000000000005</fb>
    <v>1</v>
  </rv>
  <rv s="1">
    <v>2</v>
    <v>NGVT</v>
    <v>Weekly</v>
    <v>43828</v>
    <v>45661</v>
    <v>0</v>
    <v>1</v>
    <v>638714592000000000,639025683491446213,0</v>
    <v>0</v>
    <v>a1yi2w</v>
    <v>XNYS:NGVT</v>
    <v>1</v>
  </rv>
  <rv s="1">
    <v>2</v>
    <v>SPY</v>
    <v>Weekly</v>
    <v>43828</v>
    <v>45661</v>
    <v>0</v>
    <v>1</v>
    <v>638714592000000000,639025683491295455,0</v>
    <v>0</v>
    <v>a23hqh</v>
    <v>ARCX:SPY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5562-2CD5-CE46-AC2A-2B265E17B569}">
  <dimension ref="B2:N30"/>
  <sheetViews>
    <sheetView tabSelected="1" workbookViewId="0">
      <selection activeCell="J20" sqref="J20"/>
    </sheetView>
  </sheetViews>
  <sheetFormatPr baseColWidth="10" defaultColWidth="10.83203125" defaultRowHeight="16" x14ac:dyDescent="0.2"/>
  <cols>
    <col min="1" max="1" width="10.83203125" style="15"/>
    <col min="2" max="2" width="36" style="15" bestFit="1" customWidth="1"/>
    <col min="3" max="3" width="11.6640625" style="15" customWidth="1"/>
    <col min="4" max="4" width="12.1640625" style="15" customWidth="1"/>
    <col min="5" max="8" width="10.83203125" style="15"/>
    <col min="9" max="9" width="32.1640625" style="15" customWidth="1"/>
    <col min="10" max="16384" width="10.83203125" style="15"/>
  </cols>
  <sheetData>
    <row r="2" spans="2:14" ht="24" x14ac:dyDescent="0.3">
      <c r="B2" s="51" t="s">
        <v>0</v>
      </c>
    </row>
    <row r="4" spans="2:14" ht="17" thickBot="1" x14ac:dyDescent="0.25">
      <c r="B4" s="15" t="s">
        <v>3</v>
      </c>
    </row>
    <row r="5" spans="2:14" x14ac:dyDescent="0.2">
      <c r="B5" s="40" t="s">
        <v>1</v>
      </c>
      <c r="C5" s="41">
        <v>2020</v>
      </c>
      <c r="D5" s="41">
        <v>2021</v>
      </c>
      <c r="E5" s="41">
        <v>2022</v>
      </c>
      <c r="F5" s="41">
        <v>2023</v>
      </c>
      <c r="G5" s="42">
        <v>2024</v>
      </c>
      <c r="I5" s="40" t="s">
        <v>1</v>
      </c>
      <c r="J5" s="41">
        <v>2020</v>
      </c>
      <c r="K5" s="41">
        <v>2021</v>
      </c>
      <c r="L5" s="41">
        <v>2022</v>
      </c>
      <c r="M5" s="41">
        <v>2023</v>
      </c>
      <c r="N5" s="42">
        <v>2024</v>
      </c>
    </row>
    <row r="6" spans="2:14" x14ac:dyDescent="0.2">
      <c r="B6" s="43" t="s">
        <v>5</v>
      </c>
      <c r="C6" s="17">
        <v>1216.0999999999999</v>
      </c>
      <c r="D6" s="17">
        <v>1391.5</v>
      </c>
      <c r="E6" s="17">
        <v>1668.3</v>
      </c>
      <c r="F6" s="17">
        <v>1692.1</v>
      </c>
      <c r="G6" s="44">
        <v>1406.4</v>
      </c>
      <c r="I6" s="43" t="s">
        <v>5</v>
      </c>
      <c r="J6" s="39">
        <f>ROUND(D6/D6, 2)</f>
        <v>1</v>
      </c>
      <c r="K6" s="39">
        <f>ROUND(D6/D6, 4)</f>
        <v>1</v>
      </c>
      <c r="L6" s="39">
        <f>ROUND(E6/$E$6,4)</f>
        <v>1</v>
      </c>
      <c r="M6" s="39">
        <f>ROUND(F6/$F$6, 4)</f>
        <v>1</v>
      </c>
      <c r="N6" s="50">
        <f>ROUND(G6/$G$6, 4)</f>
        <v>1</v>
      </c>
    </row>
    <row r="7" spans="2:14" x14ac:dyDescent="0.2">
      <c r="B7" s="43" t="s">
        <v>14</v>
      </c>
      <c r="C7" s="15">
        <v>750.6</v>
      </c>
      <c r="D7" s="15">
        <v>878.7</v>
      </c>
      <c r="E7" s="17">
        <v>1098.2</v>
      </c>
      <c r="F7" s="17">
        <v>1220.2</v>
      </c>
      <c r="G7" s="45">
        <v>951.7</v>
      </c>
      <c r="I7" s="43" t="s">
        <v>14</v>
      </c>
      <c r="J7" s="39">
        <f>ROUND(C7/$C$6, 4)</f>
        <v>0.61719999999999997</v>
      </c>
      <c r="K7" s="39">
        <f>ROUND(D7/$D$6, 4)</f>
        <v>0.63149999999999995</v>
      </c>
      <c r="L7" s="39">
        <f>ROUND(E7/$E$6,4)</f>
        <v>0.6583</v>
      </c>
      <c r="M7" s="39">
        <f>ROUND(F7/$F$6, 4)</f>
        <v>0.72109999999999996</v>
      </c>
      <c r="N7" s="50">
        <f>ROUND(G7/$G$6, 4)</f>
        <v>0.67669999999999997</v>
      </c>
    </row>
    <row r="8" spans="2:14" x14ac:dyDescent="0.2">
      <c r="B8" s="43" t="s">
        <v>2</v>
      </c>
      <c r="C8" s="15">
        <v>465.5</v>
      </c>
      <c r="D8" s="15">
        <v>512.79999999999995</v>
      </c>
      <c r="E8" s="15">
        <v>570.1</v>
      </c>
      <c r="F8" s="15">
        <v>471.9</v>
      </c>
      <c r="G8" s="45">
        <v>454.7</v>
      </c>
      <c r="I8" s="43" t="s">
        <v>2</v>
      </c>
      <c r="J8" s="39">
        <f>ROUND(C8/$C$6, 4)</f>
        <v>0.38279999999999997</v>
      </c>
      <c r="K8" s="39">
        <f t="shared" ref="K8:K19" si="0">ROUND(D8/$D$6, 4)</f>
        <v>0.36849999999999999</v>
      </c>
      <c r="L8" s="39">
        <f t="shared" ref="L8:L19" si="1">ROUND(E8/$E$6,4)</f>
        <v>0.3417</v>
      </c>
      <c r="M8" s="39">
        <f t="shared" ref="M8:M18" si="2">ROUND(F8/$F$6, 4)</f>
        <v>0.27889999999999998</v>
      </c>
      <c r="N8" s="50">
        <f t="shared" ref="N8:N19" si="3">ROUND(G8/$G$6, 4)</f>
        <v>0.32329999999999998</v>
      </c>
    </row>
    <row r="9" spans="2:14" x14ac:dyDescent="0.2">
      <c r="B9" s="43" t="s">
        <v>6</v>
      </c>
      <c r="C9" s="15">
        <v>149.4</v>
      </c>
      <c r="D9" s="15">
        <v>179.3</v>
      </c>
      <c r="E9" s="15">
        <v>198.8</v>
      </c>
      <c r="F9" s="15">
        <v>183.7</v>
      </c>
      <c r="G9" s="45">
        <v>166.7</v>
      </c>
      <c r="I9" s="43" t="s">
        <v>6</v>
      </c>
      <c r="J9" s="39">
        <f t="shared" ref="J9:J19" si="4">ROUND(C9/$C$6, 4)</f>
        <v>0.1229</v>
      </c>
      <c r="K9" s="39">
        <f t="shared" si="0"/>
        <v>0.12889999999999999</v>
      </c>
      <c r="L9" s="39">
        <f t="shared" si="1"/>
        <v>0.1192</v>
      </c>
      <c r="M9" s="39">
        <f t="shared" si="2"/>
        <v>0.1086</v>
      </c>
      <c r="N9" s="50">
        <f t="shared" si="3"/>
        <v>0.11849999999999999</v>
      </c>
    </row>
    <row r="10" spans="2:14" x14ac:dyDescent="0.2">
      <c r="B10" s="43" t="s">
        <v>7</v>
      </c>
      <c r="C10" s="15">
        <v>22.6</v>
      </c>
      <c r="D10" s="15">
        <v>26.3</v>
      </c>
      <c r="E10" s="15">
        <v>30.3</v>
      </c>
      <c r="F10" s="15">
        <v>31.8</v>
      </c>
      <c r="G10" s="45">
        <v>28.1</v>
      </c>
      <c r="I10" s="43" t="s">
        <v>7</v>
      </c>
      <c r="J10" s="39">
        <f t="shared" si="4"/>
        <v>1.8599999999999998E-2</v>
      </c>
      <c r="K10" s="39">
        <f t="shared" si="0"/>
        <v>1.89E-2</v>
      </c>
      <c r="L10" s="39">
        <f t="shared" si="1"/>
        <v>1.8200000000000001E-2</v>
      </c>
      <c r="M10" s="39">
        <f t="shared" si="2"/>
        <v>1.8800000000000001E-2</v>
      </c>
      <c r="N10" s="50">
        <f t="shared" si="3"/>
        <v>0.02</v>
      </c>
    </row>
    <row r="11" spans="2:14" x14ac:dyDescent="0.2">
      <c r="B11" s="43" t="s">
        <v>8</v>
      </c>
      <c r="C11" s="15">
        <v>18.5</v>
      </c>
      <c r="D11" s="15">
        <v>16.2</v>
      </c>
      <c r="E11" s="15">
        <v>13.8</v>
      </c>
      <c r="F11" s="15">
        <v>170.2</v>
      </c>
      <c r="G11" s="45">
        <v>186.2</v>
      </c>
      <c r="I11" s="43" t="s">
        <v>8</v>
      </c>
      <c r="J11" s="39">
        <f t="shared" si="4"/>
        <v>1.52E-2</v>
      </c>
      <c r="K11" s="39">
        <f t="shared" si="0"/>
        <v>1.1599999999999999E-2</v>
      </c>
      <c r="L11" s="39">
        <f t="shared" si="1"/>
        <v>8.3000000000000001E-3</v>
      </c>
      <c r="M11" s="39">
        <f t="shared" si="2"/>
        <v>0.10059999999999999</v>
      </c>
      <c r="N11" s="50">
        <f t="shared" si="3"/>
        <v>0.13239999999999999</v>
      </c>
    </row>
    <row r="12" spans="2:14" x14ac:dyDescent="0.2">
      <c r="B12" s="43" t="s">
        <v>9</v>
      </c>
      <c r="G12" s="45">
        <v>349.1</v>
      </c>
      <c r="I12" s="43" t="s">
        <v>9</v>
      </c>
      <c r="J12" s="39">
        <f t="shared" si="4"/>
        <v>0</v>
      </c>
      <c r="K12" s="39">
        <f t="shared" si="0"/>
        <v>0</v>
      </c>
      <c r="L12" s="39">
        <f t="shared" si="1"/>
        <v>0</v>
      </c>
      <c r="M12" s="39">
        <f t="shared" si="2"/>
        <v>0</v>
      </c>
      <c r="N12" s="50">
        <f t="shared" si="3"/>
        <v>0.2482</v>
      </c>
    </row>
    <row r="13" spans="2:14" x14ac:dyDescent="0.2">
      <c r="B13" s="43" t="s">
        <v>10</v>
      </c>
      <c r="C13" s="15">
        <v>1.8</v>
      </c>
      <c r="D13" s="15">
        <v>0.6</v>
      </c>
      <c r="E13" s="15">
        <v>5</v>
      </c>
      <c r="F13" s="15">
        <v>3.6</v>
      </c>
      <c r="G13" s="45">
        <v>0.3</v>
      </c>
      <c r="I13" s="43" t="s">
        <v>10</v>
      </c>
      <c r="J13" s="39">
        <f t="shared" si="4"/>
        <v>1.5E-3</v>
      </c>
      <c r="K13" s="39">
        <f t="shared" si="0"/>
        <v>4.0000000000000002E-4</v>
      </c>
      <c r="L13" s="39">
        <f t="shared" si="1"/>
        <v>3.0000000000000001E-3</v>
      </c>
      <c r="M13" s="39">
        <f t="shared" si="2"/>
        <v>2.0999999999999999E-3</v>
      </c>
      <c r="N13" s="50">
        <f t="shared" si="3"/>
        <v>2.0000000000000001E-4</v>
      </c>
    </row>
    <row r="14" spans="2:14" x14ac:dyDescent="0.2">
      <c r="B14" s="43" t="s">
        <v>11</v>
      </c>
      <c r="C14" s="15">
        <v>-4.0999999999999996</v>
      </c>
      <c r="D14" s="15">
        <v>79.900000000000006</v>
      </c>
      <c r="E14" s="15">
        <v>-1.7</v>
      </c>
      <c r="F14" s="15">
        <v>5.7</v>
      </c>
      <c r="G14" s="45">
        <v>169.8</v>
      </c>
      <c r="I14" s="43" t="s">
        <v>11</v>
      </c>
      <c r="J14" s="39">
        <f t="shared" si="4"/>
        <v>-3.3999999999999998E-3</v>
      </c>
      <c r="K14" s="39">
        <f t="shared" si="0"/>
        <v>5.74E-2</v>
      </c>
      <c r="L14" s="39">
        <f t="shared" si="1"/>
        <v>-1E-3</v>
      </c>
      <c r="M14" s="39">
        <f t="shared" si="2"/>
        <v>3.3999999999999998E-3</v>
      </c>
      <c r="N14" s="50">
        <f t="shared" si="3"/>
        <v>0.1207</v>
      </c>
    </row>
    <row r="15" spans="2:14" x14ac:dyDescent="0.2">
      <c r="B15" s="43" t="s">
        <v>12</v>
      </c>
      <c r="C15" s="15">
        <v>47.1</v>
      </c>
      <c r="D15" s="15">
        <v>51.7</v>
      </c>
      <c r="E15" s="15">
        <v>61.8</v>
      </c>
      <c r="F15" s="15">
        <v>93.3</v>
      </c>
      <c r="G15" s="45">
        <v>97.8</v>
      </c>
      <c r="I15" s="43" t="s">
        <v>12</v>
      </c>
      <c r="J15" s="39">
        <f t="shared" si="4"/>
        <v>3.8699999999999998E-2</v>
      </c>
      <c r="K15" s="39">
        <f t="shared" si="0"/>
        <v>3.7199999999999997E-2</v>
      </c>
      <c r="L15" s="39">
        <f t="shared" si="1"/>
        <v>3.6999999999999998E-2</v>
      </c>
      <c r="M15" s="39">
        <f t="shared" si="2"/>
        <v>5.5100000000000003E-2</v>
      </c>
      <c r="N15" s="50">
        <f t="shared" si="3"/>
        <v>6.9500000000000006E-2</v>
      </c>
    </row>
    <row r="16" spans="2:14" x14ac:dyDescent="0.2">
      <c r="B16" s="43" t="s">
        <v>13</v>
      </c>
      <c r="C16" s="15">
        <v>-4.9000000000000004</v>
      </c>
      <c r="D16" s="15">
        <v>-4</v>
      </c>
      <c r="E16" s="15">
        <v>-7.5</v>
      </c>
      <c r="F16" s="15">
        <v>-6.3</v>
      </c>
      <c r="G16" s="45">
        <v>-7.7</v>
      </c>
      <c r="I16" s="43" t="s">
        <v>13</v>
      </c>
      <c r="J16" s="39">
        <f t="shared" si="4"/>
        <v>-4.0000000000000001E-3</v>
      </c>
      <c r="K16" s="39">
        <f t="shared" si="0"/>
        <v>-2.8999999999999998E-3</v>
      </c>
      <c r="L16" s="39">
        <f t="shared" si="1"/>
        <v>-4.4999999999999997E-3</v>
      </c>
      <c r="M16" s="39">
        <f t="shared" si="2"/>
        <v>-3.7000000000000002E-3</v>
      </c>
      <c r="N16" s="50">
        <f t="shared" si="3"/>
        <v>-5.4999999999999997E-3</v>
      </c>
    </row>
    <row r="17" spans="2:14" x14ac:dyDescent="0.2">
      <c r="B17" s="43" t="s">
        <v>15</v>
      </c>
      <c r="C17" s="15">
        <v>235.1</v>
      </c>
      <c r="D17" s="15">
        <v>162.80000000000001</v>
      </c>
      <c r="E17" s="15">
        <v>269.60000000000002</v>
      </c>
      <c r="F17" s="15">
        <v>-10.1</v>
      </c>
      <c r="G17" s="45">
        <v>-535.6</v>
      </c>
      <c r="I17" s="43" t="s">
        <v>15</v>
      </c>
      <c r="J17" s="39">
        <f t="shared" si="4"/>
        <v>0.1933</v>
      </c>
      <c r="K17" s="39">
        <f t="shared" si="0"/>
        <v>0.11700000000000001</v>
      </c>
      <c r="L17" s="39">
        <f t="shared" si="1"/>
        <v>0.16159999999999999</v>
      </c>
      <c r="M17" s="39">
        <f t="shared" si="2"/>
        <v>-6.0000000000000001E-3</v>
      </c>
      <c r="N17" s="50">
        <f t="shared" si="3"/>
        <v>-0.38080000000000003</v>
      </c>
    </row>
    <row r="18" spans="2:14" x14ac:dyDescent="0.2">
      <c r="B18" s="43" t="s">
        <v>16</v>
      </c>
      <c r="C18" s="15">
        <v>53.7</v>
      </c>
      <c r="D18" s="15">
        <v>44.7</v>
      </c>
      <c r="E18" s="15">
        <v>58</v>
      </c>
      <c r="F18" s="15">
        <v>-4.7</v>
      </c>
      <c r="G18" s="45">
        <v>-105.3</v>
      </c>
      <c r="I18" s="43" t="s">
        <v>16</v>
      </c>
      <c r="J18" s="39">
        <f t="shared" si="4"/>
        <v>4.4200000000000003E-2</v>
      </c>
      <c r="K18" s="39">
        <f t="shared" si="0"/>
        <v>3.2099999999999997E-2</v>
      </c>
      <c r="L18" s="39">
        <f t="shared" si="1"/>
        <v>3.4799999999999998E-2</v>
      </c>
      <c r="M18" s="39">
        <f t="shared" si="2"/>
        <v>-2.8E-3</v>
      </c>
      <c r="N18" s="50">
        <f t="shared" si="3"/>
        <v>-7.4899999999999994E-2</v>
      </c>
    </row>
    <row r="19" spans="2:14" x14ac:dyDescent="0.2">
      <c r="B19" s="43" t="s">
        <v>17</v>
      </c>
      <c r="C19" s="15">
        <v>181.4</v>
      </c>
      <c r="D19" s="15">
        <v>118.1</v>
      </c>
      <c r="E19" s="15">
        <v>211.6</v>
      </c>
      <c r="F19" s="15">
        <v>-5.4</v>
      </c>
      <c r="G19" s="45">
        <v>-430.3</v>
      </c>
      <c r="I19" s="43" t="s">
        <v>17</v>
      </c>
      <c r="J19" s="39">
        <f t="shared" si="4"/>
        <v>0.1492</v>
      </c>
      <c r="K19" s="39">
        <f t="shared" si="0"/>
        <v>8.4900000000000003E-2</v>
      </c>
      <c r="L19" s="39">
        <f t="shared" si="1"/>
        <v>0.1268</v>
      </c>
      <c r="M19" s="39">
        <f>ROUND(F19/$F$6*100,2)</f>
        <v>-0.32</v>
      </c>
      <c r="N19" s="50">
        <f t="shared" si="3"/>
        <v>-0.30599999999999999</v>
      </c>
    </row>
    <row r="20" spans="2:14" ht="17" thickBot="1" x14ac:dyDescent="0.25">
      <c r="B20" s="43"/>
      <c r="G20" s="45"/>
      <c r="I20" s="47" t="s">
        <v>55</v>
      </c>
      <c r="J20" s="48">
        <f>ROUND(C19/C6, 4)</f>
        <v>0.1492</v>
      </c>
      <c r="K20" s="48">
        <f t="shared" ref="K20:N20" si="5">ROUND(D19/D6, 4)</f>
        <v>8.4900000000000003E-2</v>
      </c>
      <c r="L20" s="48">
        <f t="shared" si="5"/>
        <v>0.1268</v>
      </c>
      <c r="M20" s="48">
        <f t="shared" si="5"/>
        <v>-3.2000000000000002E-3</v>
      </c>
      <c r="N20" s="49">
        <f t="shared" si="5"/>
        <v>-0.30599999999999999</v>
      </c>
    </row>
    <row r="21" spans="2:14" x14ac:dyDescent="0.2">
      <c r="B21" s="46" t="s">
        <v>47</v>
      </c>
      <c r="C21" s="15">
        <v>2020</v>
      </c>
      <c r="D21" s="15">
        <v>2021</v>
      </c>
      <c r="E21" s="15">
        <v>2022</v>
      </c>
      <c r="F21" s="15">
        <v>2023</v>
      </c>
      <c r="G21" s="45">
        <v>2024</v>
      </c>
    </row>
    <row r="22" spans="2:14" x14ac:dyDescent="0.2">
      <c r="B22" s="43" t="s">
        <v>2</v>
      </c>
      <c r="C22" s="15">
        <v>465.5</v>
      </c>
      <c r="D22" s="15">
        <v>512.79999999999995</v>
      </c>
      <c r="E22" s="15">
        <v>570.1</v>
      </c>
      <c r="F22" s="15">
        <v>471.9</v>
      </c>
      <c r="G22" s="45">
        <v>454.7</v>
      </c>
    </row>
    <row r="23" spans="2:14" x14ac:dyDescent="0.2">
      <c r="B23" s="43" t="s">
        <v>51</v>
      </c>
      <c r="C23" s="15">
        <v>149.4</v>
      </c>
      <c r="D23" s="15">
        <v>179.3</v>
      </c>
      <c r="E23" s="15">
        <v>198.8</v>
      </c>
      <c r="F23" s="15">
        <v>183.7</v>
      </c>
      <c r="G23" s="45">
        <v>166.7</v>
      </c>
    </row>
    <row r="24" spans="2:14" x14ac:dyDescent="0.2">
      <c r="B24" s="43" t="s">
        <v>48</v>
      </c>
      <c r="C24" s="15">
        <v>22.6</v>
      </c>
      <c r="D24" s="15">
        <v>26.3</v>
      </c>
      <c r="E24" s="15">
        <v>30.3</v>
      </c>
      <c r="F24" s="15">
        <v>31.8</v>
      </c>
      <c r="G24" s="45">
        <v>28.1</v>
      </c>
    </row>
    <row r="25" spans="2:14" x14ac:dyDescent="0.2">
      <c r="B25" s="43" t="s">
        <v>49</v>
      </c>
      <c r="C25" s="15">
        <v>18.5</v>
      </c>
      <c r="D25" s="15">
        <v>16.2</v>
      </c>
      <c r="E25" s="15">
        <v>13.8</v>
      </c>
      <c r="F25" s="15">
        <v>170.2</v>
      </c>
      <c r="G25" s="45">
        <v>186.2</v>
      </c>
    </row>
    <row r="26" spans="2:14" x14ac:dyDescent="0.2">
      <c r="B26" s="43" t="s">
        <v>50</v>
      </c>
      <c r="G26" s="45">
        <v>349.1</v>
      </c>
    </row>
    <row r="27" spans="2:14" x14ac:dyDescent="0.2">
      <c r="B27" s="43" t="s">
        <v>52</v>
      </c>
      <c r="C27" s="15">
        <v>1.8</v>
      </c>
      <c r="D27" s="15">
        <v>0.6</v>
      </c>
      <c r="E27" s="15">
        <v>5</v>
      </c>
      <c r="F27" s="15">
        <v>3.6</v>
      </c>
      <c r="G27" s="45">
        <v>0.3</v>
      </c>
    </row>
    <row r="28" spans="2:14" x14ac:dyDescent="0.2">
      <c r="B28" s="43" t="s">
        <v>53</v>
      </c>
      <c r="C28" s="15">
        <v>-4.0999999999999996</v>
      </c>
      <c r="D28" s="15">
        <v>79.900000000000006</v>
      </c>
      <c r="E28" s="15">
        <v>-1.7</v>
      </c>
      <c r="F28" s="15">
        <v>5.7</v>
      </c>
      <c r="G28" s="45">
        <v>169.8</v>
      </c>
    </row>
    <row r="29" spans="2:14" x14ac:dyDescent="0.2">
      <c r="B29" s="43" t="s">
        <v>47</v>
      </c>
      <c r="C29" s="15">
        <f>C22-C23-C24-C25-C26-C27-C28</f>
        <v>277.3</v>
      </c>
      <c r="D29" s="15">
        <f t="shared" ref="D29:G29" si="6">D22-D23-D24-D25-D26-D27-D28</f>
        <v>210.49999999999991</v>
      </c>
      <c r="E29" s="15">
        <f t="shared" si="6"/>
        <v>323.89999999999998</v>
      </c>
      <c r="F29" s="15">
        <f t="shared" si="6"/>
        <v>76.899999999999991</v>
      </c>
      <c r="G29" s="45">
        <f t="shared" si="6"/>
        <v>-445.50000000000006</v>
      </c>
    </row>
    <row r="30" spans="2:14" ht="17" thickBot="1" x14ac:dyDescent="0.25">
      <c r="B30" s="47" t="s">
        <v>54</v>
      </c>
      <c r="C30" s="48">
        <f>C29/C6</f>
        <v>0.22802401118329088</v>
      </c>
      <c r="D30" s="48">
        <f t="shared" ref="D30:G30" si="7">D29/D6</f>
        <v>0.15127560186848718</v>
      </c>
      <c r="E30" s="48">
        <f t="shared" si="7"/>
        <v>0.19414973326140381</v>
      </c>
      <c r="F30" s="48">
        <f t="shared" si="7"/>
        <v>4.5446486614266292E-2</v>
      </c>
      <c r="G30" s="49">
        <f t="shared" si="7"/>
        <v>-0.31676621160409557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19AF-B6C2-0345-BC93-1D252A21E6F4}">
  <dimension ref="B6:N57"/>
  <sheetViews>
    <sheetView zoomScale="75" workbookViewId="0">
      <selection activeCell="C13" sqref="C13"/>
    </sheetView>
  </sheetViews>
  <sheetFormatPr baseColWidth="10" defaultColWidth="10.83203125" defaultRowHeight="16" x14ac:dyDescent="0.2"/>
  <cols>
    <col min="1" max="1" width="10.83203125" style="15"/>
    <col min="2" max="2" width="32.33203125" style="15" bestFit="1" customWidth="1"/>
    <col min="3" max="8" width="10.83203125" style="15"/>
    <col min="9" max="9" width="32.33203125" style="15" bestFit="1" customWidth="1"/>
    <col min="10" max="16384" width="10.83203125" style="15"/>
  </cols>
  <sheetData>
    <row r="6" spans="2:14" ht="31" x14ac:dyDescent="0.35">
      <c r="B6" s="150" t="s">
        <v>18</v>
      </c>
    </row>
    <row r="12" spans="2:14" ht="17" thickBot="1" x14ac:dyDescent="0.25"/>
    <row r="13" spans="2:14" ht="17" thickBot="1" x14ac:dyDescent="0.25">
      <c r="B13" s="40" t="s">
        <v>4</v>
      </c>
      <c r="C13" s="41"/>
      <c r="D13" s="41"/>
      <c r="E13" s="41"/>
      <c r="F13" s="41"/>
      <c r="G13" s="42"/>
      <c r="I13" s="146" t="s">
        <v>20</v>
      </c>
      <c r="J13" s="147"/>
      <c r="K13" s="147"/>
      <c r="L13" s="147"/>
      <c r="M13" s="147"/>
      <c r="N13" s="148"/>
    </row>
    <row r="14" spans="2:14" x14ac:dyDescent="0.2">
      <c r="B14" s="40" t="s">
        <v>1</v>
      </c>
      <c r="C14" s="41">
        <v>2020</v>
      </c>
      <c r="D14" s="41">
        <v>2021</v>
      </c>
      <c r="E14" s="41">
        <v>2022</v>
      </c>
      <c r="F14" s="41">
        <v>2023</v>
      </c>
      <c r="G14" s="42">
        <v>2024</v>
      </c>
      <c r="I14" s="43" t="s">
        <v>1</v>
      </c>
      <c r="J14" s="15">
        <v>2020</v>
      </c>
      <c r="K14" s="15">
        <v>2021</v>
      </c>
      <c r="L14" s="15">
        <v>2022</v>
      </c>
      <c r="M14" s="15">
        <v>2023</v>
      </c>
      <c r="N14" s="45">
        <v>2024</v>
      </c>
    </row>
    <row r="15" spans="2:14" x14ac:dyDescent="0.2">
      <c r="B15" s="43" t="s">
        <v>5</v>
      </c>
      <c r="C15" s="17">
        <v>1216.0999999999999</v>
      </c>
      <c r="D15" s="17">
        <v>1391.5</v>
      </c>
      <c r="E15" s="17">
        <v>1668.3</v>
      </c>
      <c r="F15" s="17">
        <v>1692.1</v>
      </c>
      <c r="G15" s="44">
        <v>1406.4</v>
      </c>
      <c r="I15" s="43" t="s">
        <v>5</v>
      </c>
      <c r="J15" s="17"/>
      <c r="K15" s="140">
        <f>ROUND((D15-C15)/C15, 4)</f>
        <v>0.14419999999999999</v>
      </c>
      <c r="L15" s="140">
        <f>ROUND((E15-D15)/D15, 4)</f>
        <v>0.19889999999999999</v>
      </c>
      <c r="M15" s="140">
        <f>ROUND((F15-E15)/E15, 4)</f>
        <v>1.43E-2</v>
      </c>
      <c r="N15" s="143">
        <f>ROUND((G15-F15)/F15,4)</f>
        <v>-0.16880000000000001</v>
      </c>
    </row>
    <row r="16" spans="2:14" x14ac:dyDescent="0.2">
      <c r="B16" s="43" t="s">
        <v>14</v>
      </c>
      <c r="C16" s="15">
        <v>750.6</v>
      </c>
      <c r="D16" s="15">
        <v>878.7</v>
      </c>
      <c r="E16" s="17">
        <v>1098.2</v>
      </c>
      <c r="F16" s="17">
        <v>1220.2</v>
      </c>
      <c r="G16" s="45">
        <v>951.7</v>
      </c>
      <c r="I16" s="43" t="s">
        <v>14</v>
      </c>
      <c r="K16" s="140">
        <f>ROUND((D16-C16)/C16, 4)</f>
        <v>0.17069999999999999</v>
      </c>
      <c r="L16" s="140">
        <f t="shared" ref="L16:L28" si="0">ROUND((E16-D16)/D16, 4)</f>
        <v>0.24979999999999999</v>
      </c>
      <c r="M16" s="140">
        <f t="shared" ref="M16:M28" si="1">ROUND((F16-E16)/E16, 4)</f>
        <v>0.1111</v>
      </c>
      <c r="N16" s="143">
        <f t="shared" ref="N16:N28" si="2">ROUND((G16-F16)/F16,4)</f>
        <v>-0.22</v>
      </c>
    </row>
    <row r="17" spans="2:14" x14ac:dyDescent="0.2">
      <c r="B17" s="43" t="s">
        <v>2</v>
      </c>
      <c r="C17" s="15">
        <v>465.5</v>
      </c>
      <c r="D17" s="15">
        <v>512.79999999999995</v>
      </c>
      <c r="E17" s="15">
        <v>570.1</v>
      </c>
      <c r="F17" s="15">
        <v>471.9</v>
      </c>
      <c r="G17" s="45">
        <v>454.7</v>
      </c>
      <c r="I17" s="43" t="s">
        <v>2</v>
      </c>
      <c r="K17" s="140">
        <f t="shared" ref="K17:K28" si="3">ROUND((D17-C17)/C17, 4)</f>
        <v>0.1016</v>
      </c>
      <c r="L17" s="140">
        <f t="shared" si="0"/>
        <v>0.11169999999999999</v>
      </c>
      <c r="M17" s="140">
        <f t="shared" si="1"/>
        <v>-0.17230000000000001</v>
      </c>
      <c r="N17" s="143">
        <f t="shared" si="2"/>
        <v>-3.6400000000000002E-2</v>
      </c>
    </row>
    <row r="18" spans="2:14" x14ac:dyDescent="0.2">
      <c r="B18" s="43" t="s">
        <v>6</v>
      </c>
      <c r="C18" s="15">
        <v>149.4</v>
      </c>
      <c r="D18" s="15">
        <v>179.3</v>
      </c>
      <c r="E18" s="15">
        <v>198.8</v>
      </c>
      <c r="F18" s="15">
        <v>183.7</v>
      </c>
      <c r="G18" s="45">
        <v>166.7</v>
      </c>
      <c r="I18" s="43" t="s">
        <v>6</v>
      </c>
      <c r="K18" s="140">
        <f t="shared" si="3"/>
        <v>0.2001</v>
      </c>
      <c r="L18" s="140">
        <f t="shared" si="0"/>
        <v>0.10879999999999999</v>
      </c>
      <c r="M18" s="140">
        <f t="shared" si="1"/>
        <v>-7.5999999999999998E-2</v>
      </c>
      <c r="N18" s="143">
        <f t="shared" si="2"/>
        <v>-9.2499999999999999E-2</v>
      </c>
    </row>
    <row r="19" spans="2:14" x14ac:dyDescent="0.2">
      <c r="B19" s="43" t="s">
        <v>7</v>
      </c>
      <c r="C19" s="15">
        <v>22.6</v>
      </c>
      <c r="D19" s="15">
        <v>26.3</v>
      </c>
      <c r="E19" s="15">
        <v>30.3</v>
      </c>
      <c r="F19" s="15">
        <v>31.8</v>
      </c>
      <c r="G19" s="45">
        <v>28.1</v>
      </c>
      <c r="I19" s="43" t="s">
        <v>7</v>
      </c>
      <c r="K19" s="140">
        <f t="shared" si="3"/>
        <v>0.16370000000000001</v>
      </c>
      <c r="L19" s="140">
        <f t="shared" si="0"/>
        <v>0.15210000000000001</v>
      </c>
      <c r="M19" s="140">
        <f t="shared" si="1"/>
        <v>4.9500000000000002E-2</v>
      </c>
      <c r="N19" s="143">
        <f t="shared" si="2"/>
        <v>-0.1164</v>
      </c>
    </row>
    <row r="20" spans="2:14" x14ac:dyDescent="0.2">
      <c r="B20" s="43" t="s">
        <v>8</v>
      </c>
      <c r="C20" s="15">
        <v>18.5</v>
      </c>
      <c r="D20" s="15">
        <v>16.2</v>
      </c>
      <c r="E20" s="15">
        <v>13.8</v>
      </c>
      <c r="F20" s="15">
        <v>170.2</v>
      </c>
      <c r="G20" s="45">
        <v>186.2</v>
      </c>
      <c r="I20" s="43" t="s">
        <v>8</v>
      </c>
      <c r="K20" s="140">
        <f t="shared" si="3"/>
        <v>-0.12429999999999999</v>
      </c>
      <c r="L20" s="140">
        <f t="shared" si="0"/>
        <v>-0.14810000000000001</v>
      </c>
      <c r="M20" s="140">
        <f t="shared" si="1"/>
        <v>11.333299999999999</v>
      </c>
      <c r="N20" s="143">
        <f t="shared" si="2"/>
        <v>9.4E-2</v>
      </c>
    </row>
    <row r="21" spans="2:14" x14ac:dyDescent="0.2">
      <c r="B21" s="43" t="s">
        <v>9</v>
      </c>
      <c r="G21" s="45">
        <v>349.1</v>
      </c>
      <c r="I21" s="43" t="s">
        <v>9</v>
      </c>
      <c r="K21" s="140"/>
      <c r="L21" s="140"/>
      <c r="M21" s="140"/>
      <c r="N21" s="143"/>
    </row>
    <row r="22" spans="2:14" x14ac:dyDescent="0.2">
      <c r="B22" s="43" t="s">
        <v>10</v>
      </c>
      <c r="C22" s="15">
        <v>1.8</v>
      </c>
      <c r="D22" s="15">
        <v>0.6</v>
      </c>
      <c r="E22" s="15">
        <v>5</v>
      </c>
      <c r="F22" s="15">
        <v>3.6</v>
      </c>
      <c r="G22" s="45">
        <v>0.3</v>
      </c>
      <c r="I22" s="43" t="s">
        <v>10</v>
      </c>
      <c r="K22" s="140">
        <f t="shared" si="3"/>
        <v>-0.66669999999999996</v>
      </c>
      <c r="L22" s="140">
        <f t="shared" si="0"/>
        <v>7.3333000000000004</v>
      </c>
      <c r="M22" s="140">
        <f t="shared" si="1"/>
        <v>-0.28000000000000003</v>
      </c>
      <c r="N22" s="143">
        <f t="shared" si="2"/>
        <v>-0.91669999999999996</v>
      </c>
    </row>
    <row r="23" spans="2:14" x14ac:dyDescent="0.2">
      <c r="B23" s="43" t="s">
        <v>11</v>
      </c>
      <c r="C23" s="15">
        <v>-4.0999999999999996</v>
      </c>
      <c r="D23" s="15">
        <v>79.900000000000006</v>
      </c>
      <c r="E23" s="15">
        <v>-1.7</v>
      </c>
      <c r="F23" s="15">
        <v>5.7</v>
      </c>
      <c r="G23" s="45">
        <v>169.8</v>
      </c>
      <c r="I23" s="43" t="s">
        <v>11</v>
      </c>
      <c r="K23" s="140">
        <f t="shared" si="3"/>
        <v>-20.4878</v>
      </c>
      <c r="L23" s="140">
        <f t="shared" si="0"/>
        <v>-1.0213000000000001</v>
      </c>
      <c r="M23" s="140">
        <f t="shared" si="1"/>
        <v>-4.3529</v>
      </c>
      <c r="N23" s="143">
        <f t="shared" si="2"/>
        <v>28.7895</v>
      </c>
    </row>
    <row r="24" spans="2:14" x14ac:dyDescent="0.2">
      <c r="B24" s="43" t="s">
        <v>12</v>
      </c>
      <c r="C24" s="15">
        <v>47.1</v>
      </c>
      <c r="D24" s="15">
        <v>51.7</v>
      </c>
      <c r="E24" s="15">
        <v>61.8</v>
      </c>
      <c r="F24" s="15">
        <v>93.3</v>
      </c>
      <c r="G24" s="45">
        <v>97.8</v>
      </c>
      <c r="I24" s="43" t="s">
        <v>12</v>
      </c>
      <c r="K24" s="140">
        <f t="shared" si="3"/>
        <v>9.7699999999999995E-2</v>
      </c>
      <c r="L24" s="140">
        <f t="shared" si="0"/>
        <v>0.19539999999999999</v>
      </c>
      <c r="M24" s="140">
        <f t="shared" si="1"/>
        <v>0.50970000000000004</v>
      </c>
      <c r="N24" s="143">
        <f t="shared" si="2"/>
        <v>4.82E-2</v>
      </c>
    </row>
    <row r="25" spans="2:14" x14ac:dyDescent="0.2">
      <c r="B25" s="43" t="s">
        <v>13</v>
      </c>
      <c r="C25" s="15">
        <v>-4.9000000000000004</v>
      </c>
      <c r="D25" s="15">
        <v>-4</v>
      </c>
      <c r="E25" s="15">
        <v>-7.5</v>
      </c>
      <c r="F25" s="15">
        <v>-6.3</v>
      </c>
      <c r="G25" s="45">
        <v>-7.7</v>
      </c>
      <c r="I25" s="43" t="s">
        <v>13</v>
      </c>
      <c r="K25" s="140">
        <f t="shared" si="3"/>
        <v>-0.1837</v>
      </c>
      <c r="L25" s="140">
        <f t="shared" si="0"/>
        <v>0.875</v>
      </c>
      <c r="M25" s="140">
        <f t="shared" si="1"/>
        <v>-0.16</v>
      </c>
      <c r="N25" s="143">
        <f t="shared" si="2"/>
        <v>0.22220000000000001</v>
      </c>
    </row>
    <row r="26" spans="2:14" x14ac:dyDescent="0.2">
      <c r="B26" s="43" t="s">
        <v>15</v>
      </c>
      <c r="C26" s="15">
        <v>235.1</v>
      </c>
      <c r="D26" s="15">
        <v>162.80000000000001</v>
      </c>
      <c r="E26" s="15">
        <v>269.60000000000002</v>
      </c>
      <c r="F26" s="15">
        <v>-10.1</v>
      </c>
      <c r="G26" s="45">
        <v>-535.6</v>
      </c>
      <c r="I26" s="43" t="s">
        <v>15</v>
      </c>
      <c r="K26" s="140">
        <f t="shared" si="3"/>
        <v>-0.3075</v>
      </c>
      <c r="L26" s="140">
        <f t="shared" si="0"/>
        <v>0.65600000000000003</v>
      </c>
      <c r="M26" s="140">
        <f t="shared" si="1"/>
        <v>-1.0375000000000001</v>
      </c>
      <c r="N26" s="143">
        <f t="shared" si="2"/>
        <v>52.029699999999998</v>
      </c>
    </row>
    <row r="27" spans="2:14" x14ac:dyDescent="0.2">
      <c r="B27" s="43" t="s">
        <v>16</v>
      </c>
      <c r="C27" s="15">
        <v>53.7</v>
      </c>
      <c r="D27" s="15">
        <v>44.7</v>
      </c>
      <c r="E27" s="15">
        <v>58</v>
      </c>
      <c r="F27" s="15">
        <v>-4.7</v>
      </c>
      <c r="G27" s="45">
        <v>-105.3</v>
      </c>
      <c r="I27" s="43" t="s">
        <v>16</v>
      </c>
      <c r="K27" s="140">
        <f t="shared" si="3"/>
        <v>-0.1676</v>
      </c>
      <c r="L27" s="140">
        <f t="shared" si="0"/>
        <v>0.29749999999999999</v>
      </c>
      <c r="M27" s="140">
        <f t="shared" si="1"/>
        <v>-1.081</v>
      </c>
      <c r="N27" s="143">
        <f t="shared" si="2"/>
        <v>21.404299999999999</v>
      </c>
    </row>
    <row r="28" spans="2:14" ht="17" thickBot="1" x14ac:dyDescent="0.25">
      <c r="B28" s="47" t="s">
        <v>17</v>
      </c>
      <c r="C28" s="141">
        <v>181.4</v>
      </c>
      <c r="D28" s="141">
        <v>118.1</v>
      </c>
      <c r="E28" s="141">
        <v>211.6</v>
      </c>
      <c r="F28" s="141">
        <v>-5.4</v>
      </c>
      <c r="G28" s="142">
        <v>-430.3</v>
      </c>
      <c r="I28" s="47" t="s">
        <v>17</v>
      </c>
      <c r="J28" s="141"/>
      <c r="K28" s="144">
        <f t="shared" si="3"/>
        <v>-0.34899999999999998</v>
      </c>
      <c r="L28" s="144">
        <f t="shared" si="0"/>
        <v>0.79169999999999996</v>
      </c>
      <c r="M28" s="144">
        <f t="shared" si="1"/>
        <v>-1.0255000000000001</v>
      </c>
      <c r="N28" s="145">
        <f t="shared" si="2"/>
        <v>78.685199999999995</v>
      </c>
    </row>
    <row r="30" spans="2:14" ht="17" thickBot="1" x14ac:dyDescent="0.25"/>
    <row r="31" spans="2:14" ht="17" thickBot="1" x14ac:dyDescent="0.25">
      <c r="B31" s="146" t="s">
        <v>19</v>
      </c>
      <c r="C31" s="147"/>
      <c r="D31" s="147"/>
      <c r="E31" s="147"/>
      <c r="F31" s="147"/>
      <c r="G31" s="148"/>
    </row>
    <row r="32" spans="2:14" x14ac:dyDescent="0.2">
      <c r="B32" s="43" t="s">
        <v>1</v>
      </c>
      <c r="C32" s="15">
        <v>2020</v>
      </c>
      <c r="D32" s="15">
        <v>2021</v>
      </c>
      <c r="E32" s="15">
        <v>2022</v>
      </c>
      <c r="F32" s="15">
        <v>2023</v>
      </c>
      <c r="G32" s="45">
        <v>2024</v>
      </c>
    </row>
    <row r="33" spans="2:10" x14ac:dyDescent="0.2">
      <c r="B33" s="43" t="s">
        <v>5</v>
      </c>
      <c r="C33" s="17"/>
      <c r="D33" s="140">
        <f t="shared" ref="D33:D38" si="4">ROUND((D15-C15)/C15, 4)</f>
        <v>0.14419999999999999</v>
      </c>
      <c r="E33" s="140">
        <f t="shared" ref="E33:E38" si="5">ROUND((E15-C15)/C15, 4)</f>
        <v>0.37180000000000002</v>
      </c>
      <c r="F33" s="140">
        <f t="shared" ref="F33:F38" si="6">ROUND((F15-C15)/C15, 4)</f>
        <v>0.39140000000000003</v>
      </c>
      <c r="G33" s="143">
        <f t="shared" ref="G33:G38" si="7">ROUND((G15-C15)/C15,4)</f>
        <v>0.1565</v>
      </c>
    </row>
    <row r="34" spans="2:10" x14ac:dyDescent="0.2">
      <c r="B34" s="43" t="s">
        <v>14</v>
      </c>
      <c r="D34" s="140">
        <f t="shared" si="4"/>
        <v>0.17069999999999999</v>
      </c>
      <c r="E34" s="140">
        <f t="shared" si="5"/>
        <v>0.46310000000000001</v>
      </c>
      <c r="F34" s="140">
        <f t="shared" si="6"/>
        <v>0.62560000000000004</v>
      </c>
      <c r="G34" s="143">
        <f t="shared" si="7"/>
        <v>0.26790000000000003</v>
      </c>
    </row>
    <row r="35" spans="2:10" x14ac:dyDescent="0.2">
      <c r="B35" s="43" t="s">
        <v>2</v>
      </c>
      <c r="D35" s="140">
        <f t="shared" si="4"/>
        <v>0.1016</v>
      </c>
      <c r="E35" s="140">
        <f t="shared" si="5"/>
        <v>0.22470000000000001</v>
      </c>
      <c r="F35" s="140">
        <f t="shared" si="6"/>
        <v>1.37E-2</v>
      </c>
      <c r="G35" s="143">
        <f t="shared" si="7"/>
        <v>-2.3199999999999998E-2</v>
      </c>
      <c r="H35" s="17"/>
      <c r="I35" s="17"/>
      <c r="J35" s="17"/>
    </row>
    <row r="36" spans="2:10" x14ac:dyDescent="0.2">
      <c r="B36" s="43" t="s">
        <v>6</v>
      </c>
      <c r="D36" s="140">
        <f t="shared" si="4"/>
        <v>0.2001</v>
      </c>
      <c r="E36" s="140">
        <f t="shared" si="5"/>
        <v>0.33069999999999999</v>
      </c>
      <c r="F36" s="140">
        <f t="shared" si="6"/>
        <v>0.2296</v>
      </c>
      <c r="G36" s="143">
        <f t="shared" si="7"/>
        <v>0.1158</v>
      </c>
      <c r="H36" s="17"/>
      <c r="I36" s="17"/>
    </row>
    <row r="37" spans="2:10" x14ac:dyDescent="0.2">
      <c r="B37" s="43" t="s">
        <v>7</v>
      </c>
      <c r="D37" s="140">
        <f t="shared" si="4"/>
        <v>0.16370000000000001</v>
      </c>
      <c r="E37" s="140">
        <f t="shared" si="5"/>
        <v>0.3407</v>
      </c>
      <c r="F37" s="140">
        <f t="shared" si="6"/>
        <v>0.40710000000000002</v>
      </c>
      <c r="G37" s="143">
        <f t="shared" si="7"/>
        <v>0.24340000000000001</v>
      </c>
    </row>
    <row r="38" spans="2:10" x14ac:dyDescent="0.2">
      <c r="B38" s="43" t="s">
        <v>8</v>
      </c>
      <c r="D38" s="140">
        <f t="shared" si="4"/>
        <v>-0.12429999999999999</v>
      </c>
      <c r="E38" s="140">
        <f t="shared" si="5"/>
        <v>-0.25409999999999999</v>
      </c>
      <c r="F38" s="140">
        <f t="shared" si="6"/>
        <v>8.1999999999999993</v>
      </c>
      <c r="G38" s="143">
        <f t="shared" si="7"/>
        <v>9.0648999999999997</v>
      </c>
    </row>
    <row r="39" spans="2:10" x14ac:dyDescent="0.2">
      <c r="B39" s="43" t="s">
        <v>9</v>
      </c>
      <c r="D39" s="140"/>
      <c r="E39" s="140"/>
      <c r="F39" s="140"/>
      <c r="G39" s="143"/>
    </row>
    <row r="40" spans="2:10" x14ac:dyDescent="0.2">
      <c r="B40" s="43" t="s">
        <v>10</v>
      </c>
      <c r="D40" s="140">
        <f t="shared" ref="D40:D46" si="8">ROUND((D22-C22)/C22, 4)</f>
        <v>-0.66669999999999996</v>
      </c>
      <c r="E40" s="140">
        <f t="shared" ref="E40:E46" si="9">ROUND((E22-C22)/C22, 4)</f>
        <v>1.7778</v>
      </c>
      <c r="F40" s="140">
        <f t="shared" ref="F40:F46" si="10">ROUND((F22-C22)/C22, 4)</f>
        <v>1</v>
      </c>
      <c r="G40" s="143">
        <f t="shared" ref="G40:G46" si="11">ROUND((G22-C22)/C22,4)</f>
        <v>-0.83330000000000004</v>
      </c>
    </row>
    <row r="41" spans="2:10" x14ac:dyDescent="0.2">
      <c r="B41" s="43" t="s">
        <v>11</v>
      </c>
      <c r="D41" s="140">
        <f t="shared" si="8"/>
        <v>-20.4878</v>
      </c>
      <c r="E41" s="140">
        <f t="shared" si="9"/>
        <v>-0.58540000000000003</v>
      </c>
      <c r="F41" s="140">
        <f t="shared" si="10"/>
        <v>-2.3902000000000001</v>
      </c>
      <c r="G41" s="143">
        <f t="shared" si="11"/>
        <v>-42.4146</v>
      </c>
    </row>
    <row r="42" spans="2:10" x14ac:dyDescent="0.2">
      <c r="B42" s="43" t="s">
        <v>12</v>
      </c>
      <c r="D42" s="140">
        <f t="shared" si="8"/>
        <v>9.7699999999999995E-2</v>
      </c>
      <c r="E42" s="140">
        <f t="shared" si="9"/>
        <v>0.31209999999999999</v>
      </c>
      <c r="F42" s="140">
        <f t="shared" si="10"/>
        <v>0.98089999999999999</v>
      </c>
      <c r="G42" s="143">
        <f t="shared" si="11"/>
        <v>1.0764</v>
      </c>
    </row>
    <row r="43" spans="2:10" x14ac:dyDescent="0.2">
      <c r="B43" s="43" t="s">
        <v>13</v>
      </c>
      <c r="D43" s="140">
        <f t="shared" si="8"/>
        <v>-0.1837</v>
      </c>
      <c r="E43" s="140">
        <f t="shared" si="9"/>
        <v>0.53059999999999996</v>
      </c>
      <c r="F43" s="140">
        <f t="shared" si="10"/>
        <v>0.28570000000000001</v>
      </c>
      <c r="G43" s="143">
        <f t="shared" si="11"/>
        <v>0.57140000000000002</v>
      </c>
    </row>
    <row r="44" spans="2:10" x14ac:dyDescent="0.2">
      <c r="B44" s="43" t="s">
        <v>15</v>
      </c>
      <c r="D44" s="140">
        <f t="shared" si="8"/>
        <v>-0.3075</v>
      </c>
      <c r="E44" s="140">
        <f t="shared" si="9"/>
        <v>0.1467</v>
      </c>
      <c r="F44" s="140">
        <f t="shared" si="10"/>
        <v>-1.0429999999999999</v>
      </c>
      <c r="G44" s="143">
        <f t="shared" si="11"/>
        <v>-3.2782</v>
      </c>
    </row>
    <row r="45" spans="2:10" x14ac:dyDescent="0.2">
      <c r="B45" s="43" t="s">
        <v>16</v>
      </c>
      <c r="D45" s="140">
        <f t="shared" si="8"/>
        <v>-0.1676</v>
      </c>
      <c r="E45" s="140">
        <f t="shared" si="9"/>
        <v>8.0100000000000005E-2</v>
      </c>
      <c r="F45" s="140">
        <f t="shared" si="10"/>
        <v>-1.0874999999999999</v>
      </c>
      <c r="G45" s="143">
        <f t="shared" si="11"/>
        <v>-2.9609000000000001</v>
      </c>
    </row>
    <row r="46" spans="2:10" ht="17" thickBot="1" x14ac:dyDescent="0.25">
      <c r="B46" s="47" t="s">
        <v>17</v>
      </c>
      <c r="C46" s="141"/>
      <c r="D46" s="144">
        <f t="shared" si="8"/>
        <v>-0.34899999999999998</v>
      </c>
      <c r="E46" s="144">
        <f t="shared" si="9"/>
        <v>0.16650000000000001</v>
      </c>
      <c r="F46" s="144">
        <f t="shared" si="10"/>
        <v>-1.0298</v>
      </c>
      <c r="G46" s="145">
        <f t="shared" si="11"/>
        <v>-3.3721000000000001</v>
      </c>
    </row>
    <row r="49" spans="2:5" x14ac:dyDescent="0.2">
      <c r="B49" s="130" t="s">
        <v>62</v>
      </c>
      <c r="C49" s="131" t="s">
        <v>59</v>
      </c>
      <c r="D49" s="131" t="s">
        <v>60</v>
      </c>
      <c r="E49" s="132" t="s">
        <v>61</v>
      </c>
    </row>
    <row r="50" spans="2:5" x14ac:dyDescent="0.2">
      <c r="B50" s="133"/>
      <c r="C50" s="15">
        <v>284</v>
      </c>
      <c r="D50" s="15">
        <v>365.1</v>
      </c>
      <c r="E50" s="134">
        <v>333.1</v>
      </c>
    </row>
    <row r="51" spans="2:5" x14ac:dyDescent="0.2">
      <c r="B51" s="135"/>
      <c r="C51" s="136"/>
      <c r="D51" s="137">
        <f>(D50-C50)/C50</f>
        <v>0.2855633802816902</v>
      </c>
      <c r="E51" s="138">
        <f>(E50-D50)/D50</f>
        <v>-8.7647219939742532E-2</v>
      </c>
    </row>
    <row r="53" spans="2:5" x14ac:dyDescent="0.2">
      <c r="B53" s="15" t="s">
        <v>66</v>
      </c>
    </row>
    <row r="54" spans="2:5" x14ac:dyDescent="0.2">
      <c r="B54" s="130"/>
      <c r="C54" s="131" t="s">
        <v>67</v>
      </c>
      <c r="D54" s="131"/>
      <c r="E54" s="132"/>
    </row>
    <row r="55" spans="2:5" x14ac:dyDescent="0.2">
      <c r="B55" s="133"/>
      <c r="C55" s="15">
        <v>2024</v>
      </c>
      <c r="D55" s="15">
        <v>2025</v>
      </c>
      <c r="E55" s="134"/>
    </row>
    <row r="56" spans="2:5" x14ac:dyDescent="0.2">
      <c r="B56" s="133" t="s">
        <v>14</v>
      </c>
      <c r="C56" s="15">
        <v>571.9</v>
      </c>
      <c r="D56" s="15">
        <v>538.79999999999995</v>
      </c>
      <c r="E56" s="134"/>
    </row>
    <row r="57" spans="2:5" x14ac:dyDescent="0.2">
      <c r="B57" s="135"/>
      <c r="C57" s="136"/>
      <c r="D57" s="137">
        <f>(D56-C56)/C56</f>
        <v>-5.7877251267704183E-2</v>
      </c>
      <c r="E57" s="1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346C-E2EB-0947-8C0E-57DB60604677}">
  <dimension ref="B3:J65"/>
  <sheetViews>
    <sheetView topLeftCell="A214" zoomScale="75" workbookViewId="0">
      <selection activeCell="J46" sqref="J46"/>
    </sheetView>
  </sheetViews>
  <sheetFormatPr baseColWidth="10" defaultColWidth="10.83203125" defaultRowHeight="16" x14ac:dyDescent="0.2"/>
  <cols>
    <col min="1" max="3" width="10.83203125" style="15"/>
    <col min="4" max="4" width="28.33203125" style="15" bestFit="1" customWidth="1"/>
    <col min="5" max="5" width="17.1640625" style="15" bestFit="1" customWidth="1"/>
    <col min="6" max="10" width="10.83203125" style="15"/>
    <col min="11" max="11" width="82.83203125" style="15" bestFit="1" customWidth="1"/>
    <col min="12" max="16384" width="10.83203125" style="15"/>
  </cols>
  <sheetData>
    <row r="3" spans="2:9" ht="21" x14ac:dyDescent="0.25">
      <c r="B3" s="149" t="s">
        <v>255</v>
      </c>
    </row>
    <row r="5" spans="2:9" x14ac:dyDescent="0.2">
      <c r="B5" s="15" t="s">
        <v>22</v>
      </c>
    </row>
    <row r="6" spans="2:9" ht="17" thickBot="1" x14ac:dyDescent="0.25"/>
    <row r="7" spans="2:9" x14ac:dyDescent="0.2">
      <c r="D7" s="40" t="s">
        <v>21</v>
      </c>
      <c r="E7" s="41">
        <v>2020</v>
      </c>
      <c r="F7" s="41">
        <v>2021</v>
      </c>
      <c r="G7" s="41">
        <v>2022</v>
      </c>
      <c r="H7" s="41">
        <v>2023</v>
      </c>
      <c r="I7" s="42">
        <v>2024</v>
      </c>
    </row>
    <row r="8" spans="2:9" x14ac:dyDescent="0.2">
      <c r="D8" s="43" t="s">
        <v>5</v>
      </c>
      <c r="E8" s="15">
        <v>510</v>
      </c>
      <c r="F8" s="15">
        <v>516.79999999999995</v>
      </c>
      <c r="G8" s="15">
        <v>548.5</v>
      </c>
      <c r="H8" s="15">
        <v>586</v>
      </c>
      <c r="I8" s="45">
        <v>609.6</v>
      </c>
    </row>
    <row r="9" spans="2:9" ht="17" thickBot="1" x14ac:dyDescent="0.25">
      <c r="D9" s="47" t="s">
        <v>23</v>
      </c>
      <c r="E9" s="141">
        <v>249.2</v>
      </c>
      <c r="F9" s="141">
        <v>249.4</v>
      </c>
      <c r="G9" s="141">
        <v>252.2</v>
      </c>
      <c r="H9" s="141">
        <v>286.60000000000002</v>
      </c>
      <c r="I9" s="142">
        <v>319.10000000000002</v>
      </c>
    </row>
    <row r="11" spans="2:9" x14ac:dyDescent="0.2">
      <c r="D11" s="130" t="s">
        <v>21</v>
      </c>
      <c r="E11" s="131">
        <v>2020</v>
      </c>
      <c r="F11" s="131">
        <v>2021</v>
      </c>
      <c r="G11" s="131">
        <v>2022</v>
      </c>
      <c r="H11" s="131">
        <v>2023</v>
      </c>
      <c r="I11" s="132">
        <v>2024</v>
      </c>
    </row>
    <row r="12" spans="2:9" x14ac:dyDescent="0.2">
      <c r="D12" s="155" t="s">
        <v>5</v>
      </c>
      <c r="F12" s="39">
        <f>ROUND((F8-E8)/E8, 4)</f>
        <v>1.3299999999999999E-2</v>
      </c>
      <c r="G12" s="39">
        <f>ROUND((G8-F8)/F8, 4)</f>
        <v>6.13E-2</v>
      </c>
      <c r="H12" s="39">
        <f>ROUND((H8-G8)/G8,4)</f>
        <v>6.8400000000000002E-2</v>
      </c>
      <c r="I12" s="156">
        <f>ROUND((I8-H8)/H8,4)</f>
        <v>4.0300000000000002E-2</v>
      </c>
    </row>
    <row r="13" spans="2:9" x14ac:dyDescent="0.2">
      <c r="D13" s="157" t="s">
        <v>23</v>
      </c>
      <c r="E13" s="136"/>
      <c r="F13" s="137">
        <f>ROUND((F9-E9)/E9, 4)</f>
        <v>8.0000000000000004E-4</v>
      </c>
      <c r="G13" s="137">
        <f>ROUND((G9-F9)/F9, 4)</f>
        <v>1.12E-2</v>
      </c>
      <c r="H13" s="137">
        <f>ROUND((H9-G9)/G9,4)</f>
        <v>0.13639999999999999</v>
      </c>
      <c r="I13" s="138">
        <f>ROUND((I9-H9)/H9,4)</f>
        <v>0.1134</v>
      </c>
    </row>
    <row r="15" spans="2:9" x14ac:dyDescent="0.2">
      <c r="B15" s="15" t="s">
        <v>24</v>
      </c>
    </row>
    <row r="16" spans="2:9" ht="17" thickBot="1" x14ac:dyDescent="0.25"/>
    <row r="17" spans="2:9" x14ac:dyDescent="0.2">
      <c r="D17" s="40" t="s">
        <v>21</v>
      </c>
      <c r="E17" s="41">
        <v>2020</v>
      </c>
      <c r="F17" s="41">
        <v>2021</v>
      </c>
      <c r="G17" s="41">
        <v>2022</v>
      </c>
      <c r="H17" s="41">
        <v>2023</v>
      </c>
      <c r="I17" s="42">
        <v>2024</v>
      </c>
    </row>
    <row r="18" spans="2:9" x14ac:dyDescent="0.2">
      <c r="D18" s="46" t="s">
        <v>5</v>
      </c>
      <c r="E18" s="15">
        <v>706.1</v>
      </c>
      <c r="F18" s="15">
        <v>874.7</v>
      </c>
      <c r="G18" s="15">
        <v>875.1</v>
      </c>
      <c r="H18" s="15">
        <v>902.1</v>
      </c>
      <c r="I18" s="45">
        <v>608.20000000000005</v>
      </c>
    </row>
    <row r="19" spans="2:9" x14ac:dyDescent="0.2">
      <c r="D19" s="43" t="s">
        <v>25</v>
      </c>
      <c r="G19" s="15">
        <v>241.3</v>
      </c>
      <c r="H19" s="15">
        <v>369.8</v>
      </c>
      <c r="I19" s="45">
        <v>342.3</v>
      </c>
    </row>
    <row r="20" spans="2:9" x14ac:dyDescent="0.2">
      <c r="D20" s="43" t="s">
        <v>26</v>
      </c>
      <c r="G20" s="15">
        <v>633.79999999999995</v>
      </c>
      <c r="H20" s="15">
        <v>532.29999999999995</v>
      </c>
      <c r="I20" s="45">
        <v>265.89999999999998</v>
      </c>
    </row>
    <row r="21" spans="2:9" ht="17" thickBot="1" x14ac:dyDescent="0.25">
      <c r="D21" s="154" t="s">
        <v>27</v>
      </c>
      <c r="E21" s="141">
        <v>148.69999999999999</v>
      </c>
      <c r="F21" s="141">
        <v>172.8</v>
      </c>
      <c r="G21" s="141">
        <v>160.4</v>
      </c>
      <c r="H21" s="141">
        <v>65.7</v>
      </c>
      <c r="I21" s="142">
        <v>14.7</v>
      </c>
    </row>
    <row r="23" spans="2:9" x14ac:dyDescent="0.2">
      <c r="D23" s="130" t="s">
        <v>21</v>
      </c>
      <c r="E23" s="131">
        <v>2020</v>
      </c>
      <c r="F23" s="131">
        <v>2021</v>
      </c>
      <c r="G23" s="131">
        <v>2022</v>
      </c>
      <c r="H23" s="131">
        <v>2023</v>
      </c>
      <c r="I23" s="132">
        <v>2024</v>
      </c>
    </row>
    <row r="24" spans="2:9" x14ac:dyDescent="0.2">
      <c r="D24" s="158" t="s">
        <v>5</v>
      </c>
      <c r="E24" s="140"/>
      <c r="F24" s="140">
        <f>ROUND((F18-E18)/E18,4)</f>
        <v>0.23880000000000001</v>
      </c>
      <c r="G24" s="140">
        <f>ROUND((G18-F18)/F18, 4)</f>
        <v>5.0000000000000001E-4</v>
      </c>
      <c r="H24" s="140">
        <f>ROUND((H18-G18)/G18,4)</f>
        <v>3.09E-2</v>
      </c>
      <c r="I24" s="159">
        <f>ROUND((I18-H18)/H18,4)</f>
        <v>-0.32579999999999998</v>
      </c>
    </row>
    <row r="25" spans="2:9" x14ac:dyDescent="0.2">
      <c r="D25" s="133" t="s">
        <v>25</v>
      </c>
      <c r="E25" s="140"/>
      <c r="F25" s="140"/>
      <c r="G25" s="140"/>
      <c r="H25" s="140">
        <f t="shared" ref="H25:I27" si="0">ROUND((H19-G19)/G19,4)</f>
        <v>0.53249999999999997</v>
      </c>
      <c r="I25" s="159">
        <f t="shared" si="0"/>
        <v>-7.4399999999999994E-2</v>
      </c>
    </row>
    <row r="26" spans="2:9" x14ac:dyDescent="0.2">
      <c r="D26" s="133" t="s">
        <v>26</v>
      </c>
      <c r="E26" s="140"/>
      <c r="F26" s="140"/>
      <c r="G26" s="140"/>
      <c r="H26" s="140">
        <f t="shared" si="0"/>
        <v>-0.16009999999999999</v>
      </c>
      <c r="I26" s="159">
        <f t="shared" si="0"/>
        <v>-0.50049999999999994</v>
      </c>
    </row>
    <row r="27" spans="2:9" x14ac:dyDescent="0.2">
      <c r="D27" s="160" t="s">
        <v>27</v>
      </c>
      <c r="E27" s="161"/>
      <c r="F27" s="161">
        <f t="shared" ref="F27" si="1">ROUND((F21-E21)/E21,4)</f>
        <v>0.16209999999999999</v>
      </c>
      <c r="G27" s="161">
        <f t="shared" ref="G27" si="2">ROUND((G21-F21)/F21, 4)</f>
        <v>-7.1800000000000003E-2</v>
      </c>
      <c r="H27" s="161">
        <f t="shared" si="0"/>
        <v>-0.59040000000000004</v>
      </c>
      <c r="I27" s="162">
        <f t="shared" si="0"/>
        <v>-0.77629999999999999</v>
      </c>
    </row>
    <row r="29" spans="2:9" x14ac:dyDescent="0.2">
      <c r="B29" s="15" t="s">
        <v>28</v>
      </c>
    </row>
    <row r="30" spans="2:9" ht="17" thickBot="1" x14ac:dyDescent="0.25"/>
    <row r="31" spans="2:9" x14ac:dyDescent="0.2">
      <c r="D31" s="40" t="s">
        <v>21</v>
      </c>
      <c r="E31" s="41">
        <v>2022</v>
      </c>
      <c r="F31" s="41">
        <v>2023</v>
      </c>
      <c r="G31" s="42">
        <v>2024</v>
      </c>
    </row>
    <row r="32" spans="2:9" x14ac:dyDescent="0.2">
      <c r="D32" s="43" t="s">
        <v>5</v>
      </c>
      <c r="E32" s="15">
        <v>244.7</v>
      </c>
      <c r="F32" s="15">
        <v>204</v>
      </c>
      <c r="G32" s="45">
        <v>188.6</v>
      </c>
    </row>
    <row r="33" spans="2:7" ht="17" thickBot="1" x14ac:dyDescent="0.25">
      <c r="D33" s="47" t="s">
        <v>23</v>
      </c>
      <c r="E33" s="141">
        <v>40</v>
      </c>
      <c r="F33" s="141">
        <v>44.5</v>
      </c>
      <c r="G33" s="142">
        <v>35.200000000000003</v>
      </c>
    </row>
    <row r="35" spans="2:7" x14ac:dyDescent="0.2">
      <c r="D35" s="130" t="s">
        <v>21</v>
      </c>
      <c r="E35" s="131">
        <v>2022</v>
      </c>
      <c r="F35" s="131">
        <v>2023</v>
      </c>
      <c r="G35" s="132">
        <v>2024</v>
      </c>
    </row>
    <row r="36" spans="2:7" x14ac:dyDescent="0.2">
      <c r="D36" s="133" t="s">
        <v>5</v>
      </c>
      <c r="F36" s="39">
        <f>ROUND((F32-E32)/E32,4)</f>
        <v>-0.1663</v>
      </c>
      <c r="G36" s="156">
        <f>ROUND((G32-F32)/F32,4)</f>
        <v>-7.5499999999999998E-2</v>
      </c>
    </row>
    <row r="37" spans="2:7" x14ac:dyDescent="0.2">
      <c r="D37" s="135" t="s">
        <v>23</v>
      </c>
      <c r="E37" s="136"/>
      <c r="F37" s="137">
        <f>ROUND((F33-E33)/E33,4)</f>
        <v>0.1125</v>
      </c>
      <c r="G37" s="138">
        <f>ROUND((G33-F33)/F33,4)</f>
        <v>-0.20899999999999999</v>
      </c>
    </row>
    <row r="40" spans="2:7" ht="17" thickBot="1" x14ac:dyDescent="0.25"/>
    <row r="41" spans="2:7" x14ac:dyDescent="0.2">
      <c r="B41" s="15" t="s">
        <v>33</v>
      </c>
      <c r="D41" s="40" t="s">
        <v>21</v>
      </c>
      <c r="E41" s="41">
        <v>2022</v>
      </c>
      <c r="F41" s="41">
        <v>2023</v>
      </c>
      <c r="G41" s="42">
        <v>2024</v>
      </c>
    </row>
    <row r="42" spans="2:7" x14ac:dyDescent="0.2">
      <c r="D42" s="43" t="s">
        <v>29</v>
      </c>
      <c r="E42" s="15">
        <v>983.2</v>
      </c>
      <c r="F42" s="17">
        <v>1069.5</v>
      </c>
      <c r="G42" s="45">
        <v>820.9</v>
      </c>
    </row>
    <row r="43" spans="2:7" x14ac:dyDescent="0.2">
      <c r="D43" s="43" t="s">
        <v>30</v>
      </c>
      <c r="E43" s="15">
        <v>398.7</v>
      </c>
      <c r="F43" s="15">
        <v>364</v>
      </c>
      <c r="G43" s="45">
        <v>346</v>
      </c>
    </row>
    <row r="44" spans="2:7" x14ac:dyDescent="0.2">
      <c r="D44" s="43" t="s">
        <v>31</v>
      </c>
      <c r="E44" s="15">
        <v>242.2</v>
      </c>
      <c r="F44" s="15">
        <v>215.5</v>
      </c>
      <c r="G44" s="45">
        <v>187</v>
      </c>
    </row>
    <row r="45" spans="2:7" ht="17" thickBot="1" x14ac:dyDescent="0.25">
      <c r="D45" s="47" t="s">
        <v>32</v>
      </c>
      <c r="E45" s="141">
        <v>44.2</v>
      </c>
      <c r="F45" s="141">
        <v>43.1</v>
      </c>
      <c r="G45" s="142">
        <v>52.5</v>
      </c>
    </row>
    <row r="47" spans="2:7" x14ac:dyDescent="0.2">
      <c r="D47" s="163" t="s">
        <v>21</v>
      </c>
      <c r="E47" s="164">
        <v>2022</v>
      </c>
      <c r="F47" s="164">
        <v>2023</v>
      </c>
      <c r="G47" s="165">
        <v>2024</v>
      </c>
    </row>
    <row r="48" spans="2:7" x14ac:dyDescent="0.2">
      <c r="D48" s="155" t="s">
        <v>29</v>
      </c>
      <c r="E48" s="65"/>
      <c r="F48" s="152">
        <f>ROUND((F42-E42)/E42,4)</f>
        <v>8.7800000000000003E-2</v>
      </c>
      <c r="G48" s="166">
        <f>ROUND((G42-F42)/F42,4)</f>
        <v>-0.2324</v>
      </c>
    </row>
    <row r="49" spans="2:10" x14ac:dyDescent="0.2">
      <c r="D49" s="155" t="s">
        <v>30</v>
      </c>
      <c r="E49" s="65"/>
      <c r="F49" s="152">
        <f t="shared" ref="F49:G51" si="3">ROUND((F43-E43)/E43,4)</f>
        <v>-8.6999999999999994E-2</v>
      </c>
      <c r="G49" s="166">
        <f t="shared" si="3"/>
        <v>-4.9500000000000002E-2</v>
      </c>
    </row>
    <row r="50" spans="2:10" x14ac:dyDescent="0.2">
      <c r="D50" s="155" t="s">
        <v>31</v>
      </c>
      <c r="E50" s="65"/>
      <c r="F50" s="152">
        <f t="shared" si="3"/>
        <v>-0.11020000000000001</v>
      </c>
      <c r="G50" s="166">
        <f t="shared" si="3"/>
        <v>-0.1323</v>
      </c>
    </row>
    <row r="51" spans="2:10" x14ac:dyDescent="0.2">
      <c r="D51" s="157" t="s">
        <v>32</v>
      </c>
      <c r="E51" s="167"/>
      <c r="F51" s="168">
        <f t="shared" si="3"/>
        <v>-2.4899999999999999E-2</v>
      </c>
      <c r="G51" s="169">
        <f t="shared" si="3"/>
        <v>0.21809999999999999</v>
      </c>
    </row>
    <row r="53" spans="2:10" x14ac:dyDescent="0.2">
      <c r="D53" s="130" t="s">
        <v>21</v>
      </c>
      <c r="E53" s="131">
        <v>2022</v>
      </c>
      <c r="F53" s="131">
        <v>2023</v>
      </c>
      <c r="G53" s="132">
        <v>2024</v>
      </c>
    </row>
    <row r="54" spans="2:10" x14ac:dyDescent="0.2">
      <c r="D54" s="133" t="s">
        <v>29</v>
      </c>
      <c r="E54" s="140">
        <f>ROUND((E42/$E$58), 4)</f>
        <v>0.58930000000000005</v>
      </c>
      <c r="F54" s="140">
        <f>ROUND((F42/$F$58),4)</f>
        <v>0.6321</v>
      </c>
      <c r="G54" s="159">
        <f>ROUND((G42/$G$58),4)</f>
        <v>0.5837</v>
      </c>
    </row>
    <row r="55" spans="2:10" x14ac:dyDescent="0.2">
      <c r="D55" s="133" t="s">
        <v>30</v>
      </c>
      <c r="E55" s="140">
        <f t="shared" ref="E55:E57" si="4">ROUND((E43/$E$58), 4)</f>
        <v>0.23899999999999999</v>
      </c>
      <c r="F55" s="140">
        <f t="shared" ref="F55:F57" si="5">ROUND((F43/$F$58),4)</f>
        <v>0.21510000000000001</v>
      </c>
      <c r="G55" s="159">
        <f t="shared" ref="G55:G57" si="6">ROUND((G43/$G$58),4)</f>
        <v>0.246</v>
      </c>
    </row>
    <row r="56" spans="2:10" x14ac:dyDescent="0.2">
      <c r="D56" s="133" t="s">
        <v>31</v>
      </c>
      <c r="E56" s="140">
        <f t="shared" si="4"/>
        <v>0.1452</v>
      </c>
      <c r="F56" s="140">
        <f t="shared" si="5"/>
        <v>0.12740000000000001</v>
      </c>
      <c r="G56" s="159">
        <f t="shared" si="6"/>
        <v>0.13300000000000001</v>
      </c>
    </row>
    <row r="57" spans="2:10" x14ac:dyDescent="0.2">
      <c r="D57" s="133" t="s">
        <v>32</v>
      </c>
      <c r="E57" s="140">
        <f t="shared" si="4"/>
        <v>2.6499999999999999E-2</v>
      </c>
      <c r="F57" s="140">
        <f t="shared" si="5"/>
        <v>2.5499999999999998E-2</v>
      </c>
      <c r="G57" s="159">
        <f t="shared" si="6"/>
        <v>3.73E-2</v>
      </c>
    </row>
    <row r="58" spans="2:10" x14ac:dyDescent="0.2">
      <c r="D58" s="135" t="s">
        <v>36</v>
      </c>
      <c r="E58" s="136">
        <f>SUM(E42:E45)</f>
        <v>1668.3000000000002</v>
      </c>
      <c r="F58" s="170">
        <f>SUM(F42:F45)</f>
        <v>1692.1</v>
      </c>
      <c r="G58" s="139">
        <f>SUM(G42:G45)</f>
        <v>1406.4</v>
      </c>
      <c r="J58" s="15" t="s">
        <v>37</v>
      </c>
    </row>
    <row r="59" spans="2:10" x14ac:dyDescent="0.2">
      <c r="F59" s="17"/>
    </row>
    <row r="60" spans="2:10" x14ac:dyDescent="0.2">
      <c r="F60" s="17"/>
    </row>
    <row r="61" spans="2:10" ht="17" thickBot="1" x14ac:dyDescent="0.25"/>
    <row r="62" spans="2:10" x14ac:dyDescent="0.2">
      <c r="B62" s="15" t="s">
        <v>254</v>
      </c>
      <c r="D62" s="40" t="s">
        <v>34</v>
      </c>
      <c r="E62" s="171">
        <v>609600000</v>
      </c>
      <c r="F62" s="172">
        <f>ROUND(E62/E65,4)</f>
        <v>0.43340000000000001</v>
      </c>
    </row>
    <row r="63" spans="2:10" x14ac:dyDescent="0.2">
      <c r="D63" s="43" t="s">
        <v>24</v>
      </c>
      <c r="E63" s="153">
        <v>608200000</v>
      </c>
      <c r="F63" s="50">
        <f>ROUND(E63/E65, 4)</f>
        <v>0.4325</v>
      </c>
    </row>
    <row r="64" spans="2:10" x14ac:dyDescent="0.2">
      <c r="D64" s="43" t="s">
        <v>28</v>
      </c>
      <c r="E64" s="153">
        <v>188600000</v>
      </c>
      <c r="F64" s="50">
        <f>ROUND(E64/E65, 4)</f>
        <v>0.1341</v>
      </c>
    </row>
    <row r="65" spans="4:6" ht="17" thickBot="1" x14ac:dyDescent="0.25">
      <c r="D65" s="47" t="s">
        <v>35</v>
      </c>
      <c r="E65" s="173">
        <f>SUM(E62:E64)</f>
        <v>1406400000</v>
      </c>
      <c r="F65" s="1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9CA8-56B4-B049-B9F3-5E1C739403D8}">
  <dimension ref="C3:O26"/>
  <sheetViews>
    <sheetView topLeftCell="A198" zoomScale="65" workbookViewId="0">
      <selection activeCell="L41" sqref="L41"/>
    </sheetView>
  </sheetViews>
  <sheetFormatPr baseColWidth="10" defaultColWidth="10.83203125" defaultRowHeight="16" x14ac:dyDescent="0.2"/>
  <cols>
    <col min="1" max="2" width="10.83203125" style="4"/>
    <col min="3" max="3" width="17.83203125" style="4" bestFit="1" customWidth="1"/>
    <col min="4" max="4" width="15.33203125" style="4" bestFit="1" customWidth="1"/>
    <col min="5" max="5" width="17" style="4" bestFit="1" customWidth="1"/>
    <col min="6" max="16384" width="10.83203125" style="4"/>
  </cols>
  <sheetData>
    <row r="3" spans="3:8" ht="17" thickBot="1" x14ac:dyDescent="0.25"/>
    <row r="4" spans="3:8" x14ac:dyDescent="0.2">
      <c r="C4" s="21" t="s">
        <v>38</v>
      </c>
      <c r="D4" s="22" t="s">
        <v>39</v>
      </c>
      <c r="E4" s="24" t="s">
        <v>40</v>
      </c>
    </row>
    <row r="5" spans="3:8" x14ac:dyDescent="0.2">
      <c r="C5" s="25">
        <v>2020</v>
      </c>
      <c r="D5" s="17">
        <v>1216.0999999999999</v>
      </c>
      <c r="E5" s="26"/>
    </row>
    <row r="6" spans="3:8" x14ac:dyDescent="0.2">
      <c r="C6" s="25">
        <v>2021</v>
      </c>
      <c r="D6" s="17">
        <v>1391.5</v>
      </c>
      <c r="E6" s="72">
        <f>ROUND((D6-D5)/D6,4)</f>
        <v>0.12609999999999999</v>
      </c>
    </row>
    <row r="7" spans="3:8" x14ac:dyDescent="0.2">
      <c r="C7" s="25">
        <v>2022</v>
      </c>
      <c r="D7" s="17">
        <v>1668.3</v>
      </c>
      <c r="E7" s="72">
        <f t="shared" ref="E7:E9" si="0">ROUND((D7-D6)/D7,4)</f>
        <v>0.16589999999999999</v>
      </c>
    </row>
    <row r="8" spans="3:8" x14ac:dyDescent="0.2">
      <c r="C8" s="25">
        <v>2023</v>
      </c>
      <c r="D8" s="17">
        <v>1692.1</v>
      </c>
      <c r="E8" s="72">
        <f t="shared" si="0"/>
        <v>1.41E-2</v>
      </c>
    </row>
    <row r="9" spans="3:8" ht="17" thickBot="1" x14ac:dyDescent="0.25">
      <c r="C9" s="34">
        <v>2024</v>
      </c>
      <c r="D9" s="254">
        <v>1406.4</v>
      </c>
      <c r="E9" s="195">
        <f t="shared" si="0"/>
        <v>-0.2031</v>
      </c>
    </row>
    <row r="11" spans="3:8" ht="17" thickBot="1" x14ac:dyDescent="0.25"/>
    <row r="12" spans="3:8" x14ac:dyDescent="0.2">
      <c r="C12" s="21" t="s">
        <v>41</v>
      </c>
      <c r="D12" s="22">
        <v>2020</v>
      </c>
      <c r="E12" s="22">
        <v>2021</v>
      </c>
      <c r="F12" s="22">
        <v>2022</v>
      </c>
      <c r="G12" s="22">
        <v>2023</v>
      </c>
      <c r="H12" s="24">
        <v>2024</v>
      </c>
    </row>
    <row r="13" spans="3:8" x14ac:dyDescent="0.2">
      <c r="C13" s="25" t="s">
        <v>42</v>
      </c>
      <c r="D13" s="71">
        <v>0.38279999999999997</v>
      </c>
      <c r="E13" s="71">
        <v>0.36849999999999999</v>
      </c>
      <c r="F13" s="71">
        <v>0.3417</v>
      </c>
      <c r="G13" s="71">
        <v>0.27889999999999998</v>
      </c>
      <c r="H13" s="54">
        <v>0.32329999999999998</v>
      </c>
    </row>
    <row r="14" spans="3:8" x14ac:dyDescent="0.2">
      <c r="C14" s="25" t="s">
        <v>43</v>
      </c>
      <c r="D14" s="71">
        <v>0.1229</v>
      </c>
      <c r="E14" s="71">
        <v>0.12889999999999999</v>
      </c>
      <c r="F14" s="71">
        <v>0.1192</v>
      </c>
      <c r="G14" s="71">
        <v>0.1086</v>
      </c>
      <c r="H14" s="54">
        <v>0.11849999999999999</v>
      </c>
    </row>
    <row r="15" spans="3:8" x14ac:dyDescent="0.2">
      <c r="C15" s="25" t="s">
        <v>44</v>
      </c>
      <c r="D15" s="71">
        <v>1.8599999999999998E-2</v>
      </c>
      <c r="E15" s="71">
        <v>1.89E-2</v>
      </c>
      <c r="F15" s="71">
        <v>1.8200000000000001E-2</v>
      </c>
      <c r="G15" s="71">
        <v>1.8800000000000001E-2</v>
      </c>
      <c r="H15" s="54">
        <v>0.02</v>
      </c>
    </row>
    <row r="16" spans="3:8" x14ac:dyDescent="0.2">
      <c r="C16" s="25" t="s">
        <v>45</v>
      </c>
      <c r="D16" s="71">
        <v>0.22802401118329088</v>
      </c>
      <c r="E16" s="71">
        <v>0.15127560186848718</v>
      </c>
      <c r="F16" s="71">
        <v>0.19414973326140381</v>
      </c>
      <c r="G16" s="71">
        <v>4.5446486614266292E-2</v>
      </c>
      <c r="H16" s="54">
        <v>-0.31676621160409557</v>
      </c>
    </row>
    <row r="17" spans="3:15" ht="17" thickBot="1" x14ac:dyDescent="0.25">
      <c r="C17" s="34" t="s">
        <v>46</v>
      </c>
      <c r="D17" s="68">
        <v>0.1492</v>
      </c>
      <c r="E17" s="68">
        <v>8.4900000000000003E-2</v>
      </c>
      <c r="F17" s="68">
        <v>0.1268</v>
      </c>
      <c r="G17" s="68">
        <v>-3.2000000000000002E-3</v>
      </c>
      <c r="H17" s="70">
        <v>-0.30599999999999999</v>
      </c>
    </row>
    <row r="21" spans="3:15" ht="17" thickBot="1" x14ac:dyDescent="0.25"/>
    <row r="22" spans="3:15" x14ac:dyDescent="0.2">
      <c r="D22" s="123"/>
      <c r="E22" s="124"/>
      <c r="F22" s="124"/>
      <c r="G22" s="124"/>
      <c r="H22" s="124"/>
      <c r="I22" s="125"/>
      <c r="J22" s="124"/>
      <c r="K22" s="125"/>
      <c r="L22" s="124"/>
      <c r="M22" s="125"/>
      <c r="N22" s="124"/>
    </row>
    <row r="23" spans="3:15" x14ac:dyDescent="0.2">
      <c r="D23" s="126"/>
      <c r="E23" s="15"/>
      <c r="F23" s="15"/>
      <c r="G23" s="15"/>
      <c r="H23" s="15"/>
      <c r="I23" s="127"/>
      <c r="J23" s="85"/>
      <c r="K23" s="85"/>
      <c r="L23" s="85"/>
      <c r="M23" s="85"/>
      <c r="N23" s="85"/>
      <c r="O23" s="11"/>
    </row>
    <row r="24" spans="3:15" ht="17" thickBot="1" x14ac:dyDescent="0.25">
      <c r="D24" s="128"/>
      <c r="E24" s="129"/>
      <c r="F24" s="129"/>
      <c r="G24" s="129"/>
      <c r="H24" s="129"/>
      <c r="I24" s="151"/>
    </row>
    <row r="25" spans="3:15" ht="17" thickBot="1" x14ac:dyDescent="0.25">
      <c r="D25" s="15"/>
      <c r="E25" s="15"/>
      <c r="F25" s="15"/>
      <c r="G25" s="15"/>
      <c r="H25" s="15"/>
      <c r="I25" s="15"/>
    </row>
    <row r="26" spans="3:15" ht="17" thickBot="1" x14ac:dyDescent="0.25">
      <c r="E26" s="2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219E-20C7-6C48-9159-34A65B2452DA}">
  <dimension ref="B1:T38"/>
  <sheetViews>
    <sheetView topLeftCell="A2" zoomScale="60" workbookViewId="0">
      <selection activeCell="M7" sqref="M7"/>
    </sheetView>
  </sheetViews>
  <sheetFormatPr baseColWidth="10" defaultColWidth="10.83203125" defaultRowHeight="16" x14ac:dyDescent="0.2"/>
  <cols>
    <col min="1" max="1" width="10.83203125" style="4"/>
    <col min="2" max="2" width="37.5" style="4" customWidth="1"/>
    <col min="3" max="3" width="13.5" style="4" customWidth="1"/>
    <col min="4" max="7" width="10.83203125" style="4"/>
    <col min="8" max="8" width="13" style="106" bestFit="1" customWidth="1"/>
    <col min="9" max="11" width="12.6640625" style="4" bestFit="1" customWidth="1"/>
    <col min="12" max="12" width="9.5" style="4" bestFit="1" customWidth="1"/>
    <col min="13" max="13" width="11.1640625" style="5" customWidth="1"/>
    <col min="14" max="19" width="10.83203125" style="4"/>
    <col min="20" max="20" width="34.5" style="4" bestFit="1" customWidth="1"/>
    <col min="21" max="16384" width="10.83203125" style="4"/>
  </cols>
  <sheetData>
    <row r="1" spans="2:20" x14ac:dyDescent="0.2">
      <c r="H1" s="5"/>
    </row>
    <row r="2" spans="2:20" x14ac:dyDescent="0.2">
      <c r="H2" s="5"/>
    </row>
    <row r="3" spans="2:20" ht="34" x14ac:dyDescent="0.4">
      <c r="B3" s="75" t="s">
        <v>253</v>
      </c>
      <c r="H3" s="5"/>
    </row>
    <row r="4" spans="2:20" x14ac:dyDescent="0.2">
      <c r="H4" s="5"/>
    </row>
    <row r="5" spans="2:20" ht="17" thickBot="1" x14ac:dyDescent="0.25">
      <c r="H5" s="5"/>
    </row>
    <row r="6" spans="2:20" x14ac:dyDescent="0.2">
      <c r="B6" s="111" t="s">
        <v>1</v>
      </c>
      <c r="C6" s="112">
        <v>2020</v>
      </c>
      <c r="D6" s="112">
        <v>2021</v>
      </c>
      <c r="E6" s="112">
        <v>2022</v>
      </c>
      <c r="F6" s="112">
        <v>2023</v>
      </c>
      <c r="G6" s="112">
        <v>2024</v>
      </c>
      <c r="H6" s="113">
        <v>2025</v>
      </c>
      <c r="I6" s="112">
        <v>2026</v>
      </c>
      <c r="J6" s="112">
        <v>2027</v>
      </c>
      <c r="K6" s="112">
        <v>2028</v>
      </c>
      <c r="L6" s="112">
        <v>2029</v>
      </c>
      <c r="M6" s="116" t="s">
        <v>64</v>
      </c>
    </row>
    <row r="7" spans="2:20" x14ac:dyDescent="0.2">
      <c r="B7" s="25" t="s">
        <v>57</v>
      </c>
      <c r="C7" s="4">
        <v>510</v>
      </c>
      <c r="D7" s="78">
        <v>516.79999999999995</v>
      </c>
      <c r="E7" s="78">
        <v>548.5</v>
      </c>
      <c r="F7" s="78">
        <v>586</v>
      </c>
      <c r="G7" s="78">
        <v>609.6</v>
      </c>
      <c r="H7" s="98">
        <v>637.40234057069904</v>
      </c>
      <c r="I7" s="93">
        <v>666.4726767798644</v>
      </c>
      <c r="J7" s="93">
        <v>696.86883875640501</v>
      </c>
      <c r="K7" s="93">
        <v>728.6512941176469</v>
      </c>
      <c r="L7" s="93">
        <v>761.8832682586235</v>
      </c>
      <c r="M7" s="117">
        <f>(G7/C7)^(1/(5-1))-1</f>
        <v>4.5607514059545551E-2</v>
      </c>
      <c r="N7" s="87"/>
    </row>
    <row r="8" spans="2:20" x14ac:dyDescent="0.2">
      <c r="B8" s="31" t="s">
        <v>58</v>
      </c>
      <c r="D8" s="19">
        <f>ROUND((D7-C7)/C7,4)</f>
        <v>1.3299999999999999E-2</v>
      </c>
      <c r="E8" s="19">
        <f t="shared" ref="E8:L8" si="0">ROUND((E7-D7)/D7,4)</f>
        <v>6.13E-2</v>
      </c>
      <c r="F8" s="19">
        <f t="shared" si="0"/>
        <v>6.8400000000000002E-2</v>
      </c>
      <c r="G8" s="19">
        <f t="shared" si="0"/>
        <v>4.0300000000000002E-2</v>
      </c>
      <c r="H8" s="99">
        <f>ROUND((H7-G7)/G7,4)</f>
        <v>4.5600000000000002E-2</v>
      </c>
      <c r="I8" s="19">
        <f t="shared" si="0"/>
        <v>4.5600000000000002E-2</v>
      </c>
      <c r="J8" s="19">
        <f t="shared" si="0"/>
        <v>4.5600000000000002E-2</v>
      </c>
      <c r="K8" s="19">
        <f t="shared" si="0"/>
        <v>4.5600000000000002E-2</v>
      </c>
      <c r="L8" s="19">
        <f t="shared" si="0"/>
        <v>4.5600000000000002E-2</v>
      </c>
      <c r="M8" s="118"/>
    </row>
    <row r="9" spans="2:20" x14ac:dyDescent="0.2">
      <c r="B9" s="25"/>
      <c r="H9" s="5"/>
      <c r="M9" s="118"/>
    </row>
    <row r="10" spans="2:20" x14ac:dyDescent="0.2">
      <c r="B10" s="25" t="s">
        <v>24</v>
      </c>
      <c r="C10" s="4">
        <v>706.1</v>
      </c>
      <c r="D10" s="4">
        <v>874.7</v>
      </c>
      <c r="E10" s="4">
        <v>875.1</v>
      </c>
      <c r="F10" s="4">
        <v>902.1</v>
      </c>
      <c r="G10" s="4">
        <v>608.20000000000005</v>
      </c>
      <c r="H10" s="107">
        <f>H12+H14</f>
        <v>542.6</v>
      </c>
      <c r="I10" s="107">
        <f>I12</f>
        <v>439.90000000000003</v>
      </c>
      <c r="J10" s="107">
        <f>J12</f>
        <v>466.29400000000004</v>
      </c>
      <c r="K10" s="107">
        <f>K12</f>
        <v>494.27164000000005</v>
      </c>
      <c r="L10" s="107">
        <f>L12</f>
        <v>523.92793840000013</v>
      </c>
      <c r="M10" s="117"/>
      <c r="T10" s="10"/>
    </row>
    <row r="11" spans="2:20" x14ac:dyDescent="0.2">
      <c r="B11" s="31" t="s">
        <v>58</v>
      </c>
      <c r="D11" s="19">
        <f>ROUND((D10-C10)/C10,4)</f>
        <v>0.23880000000000001</v>
      </c>
      <c r="E11" s="19">
        <f t="shared" ref="E11:G11" si="1">ROUND((E10-D10)/D10,4)</f>
        <v>5.0000000000000001E-4</v>
      </c>
      <c r="F11" s="19">
        <f t="shared" si="1"/>
        <v>3.09E-2</v>
      </c>
      <c r="G11" s="19">
        <f t="shared" si="1"/>
        <v>-0.32579999999999998</v>
      </c>
      <c r="H11" s="19">
        <f>ROUND((H10-G10)/G10,4)</f>
        <v>-0.1079</v>
      </c>
      <c r="I11" s="19">
        <f>ROUND((I10-H10)/H10,4)</f>
        <v>-0.1893</v>
      </c>
      <c r="J11" s="19">
        <f>ROUND((J10-I10)/I10,4)</f>
        <v>0.06</v>
      </c>
      <c r="K11" s="19">
        <f>ROUND((K10-J10)/J10,4)</f>
        <v>0.06</v>
      </c>
      <c r="L11" s="19">
        <f>ROUND((L10-K10)/K10,4)</f>
        <v>0.06</v>
      </c>
      <c r="M11" s="118"/>
    </row>
    <row r="12" spans="2:20" x14ac:dyDescent="0.2">
      <c r="B12" s="30" t="s">
        <v>25</v>
      </c>
      <c r="E12" s="4">
        <v>241.3</v>
      </c>
      <c r="F12" s="4">
        <v>369.8</v>
      </c>
      <c r="G12" s="4">
        <v>342.3</v>
      </c>
      <c r="H12" s="85">
        <v>415</v>
      </c>
      <c r="I12" s="85">
        <f>H12*(1+0.06)</f>
        <v>439.90000000000003</v>
      </c>
      <c r="J12" s="85">
        <f>I12*(1+0.06)</f>
        <v>466.29400000000004</v>
      </c>
      <c r="K12" s="85">
        <f>J12*(1+0.06)</f>
        <v>494.27164000000005</v>
      </c>
      <c r="L12" s="85">
        <f>K12*(1+0.06)</f>
        <v>523.92793840000013</v>
      </c>
      <c r="M12" s="119"/>
    </row>
    <row r="13" spans="2:20" x14ac:dyDescent="0.2">
      <c r="B13" s="25"/>
      <c r="H13" s="99">
        <f>ROUND((H12-G12)/G12,4)</f>
        <v>0.21240000000000001</v>
      </c>
      <c r="I13" s="19">
        <f>ROUND((I12-H12)/H12,4)</f>
        <v>0.06</v>
      </c>
      <c r="J13" s="19">
        <f>ROUND((J12-I12)/I12,4)</f>
        <v>0.06</v>
      </c>
      <c r="K13" s="19">
        <f>ROUND((K12-J12)/J12,4)</f>
        <v>0.06</v>
      </c>
      <c r="L13" s="19">
        <f>ROUND((L12-K12)/K12,4)</f>
        <v>0.06</v>
      </c>
      <c r="M13" s="118"/>
    </row>
    <row r="14" spans="2:20" x14ac:dyDescent="0.2">
      <c r="B14" s="30" t="s">
        <v>26</v>
      </c>
      <c r="E14" s="4">
        <v>633.79999999999995</v>
      </c>
      <c r="F14" s="4">
        <v>532.29999999999995</v>
      </c>
      <c r="G14" s="4">
        <v>265.89999999999998</v>
      </c>
      <c r="H14" s="61">
        <v>127.6</v>
      </c>
      <c r="I14" s="61">
        <v>0</v>
      </c>
      <c r="J14" s="61">
        <v>0</v>
      </c>
      <c r="K14" s="61">
        <v>0</v>
      </c>
      <c r="L14" s="61">
        <v>0</v>
      </c>
      <c r="M14" s="117"/>
      <c r="T14" s="10"/>
    </row>
    <row r="15" spans="2:20" x14ac:dyDescent="0.2">
      <c r="B15" s="30"/>
      <c r="H15" s="99"/>
      <c r="I15" s="19"/>
      <c r="J15" s="19"/>
      <c r="K15" s="62" t="s">
        <v>83</v>
      </c>
      <c r="L15" s="19"/>
      <c r="M15" s="118"/>
      <c r="T15" s="10"/>
    </row>
    <row r="16" spans="2:20" x14ac:dyDescent="0.2">
      <c r="B16" s="25"/>
      <c r="H16" s="5"/>
      <c r="M16" s="118"/>
    </row>
    <row r="17" spans="2:20" x14ac:dyDescent="0.2">
      <c r="B17" s="25" t="s">
        <v>63</v>
      </c>
      <c r="E17" s="4">
        <v>244.7</v>
      </c>
      <c r="F17" s="4">
        <v>204</v>
      </c>
      <c r="G17" s="4">
        <v>188.6</v>
      </c>
      <c r="H17" s="9">
        <f>G17*(1+$M$17)</f>
        <v>165.57529897965668</v>
      </c>
      <c r="I17" s="85">
        <f>H17*(1+$M$17)</f>
        <v>145.36150388230487</v>
      </c>
      <c r="J17" s="85">
        <v>137</v>
      </c>
      <c r="K17" s="85">
        <v>135</v>
      </c>
      <c r="L17" s="85">
        <v>132</v>
      </c>
      <c r="M17" s="117">
        <f>(G17/E17)^(1/(3-1))-1</f>
        <v>-0.12208218992758912</v>
      </c>
    </row>
    <row r="18" spans="2:20" x14ac:dyDescent="0.2">
      <c r="B18" s="31" t="s">
        <v>58</v>
      </c>
      <c r="F18" s="19">
        <f>ROUND((F17-E17)/E17, 4)</f>
        <v>-0.1663</v>
      </c>
      <c r="G18" s="19">
        <f t="shared" ref="G18:L18" si="2">ROUND((G17-F17)/F17, 4)</f>
        <v>-7.5499999999999998E-2</v>
      </c>
      <c r="H18" s="99">
        <f t="shared" si="2"/>
        <v>-0.1221</v>
      </c>
      <c r="I18" s="19">
        <f t="shared" si="2"/>
        <v>-0.1221</v>
      </c>
      <c r="J18" s="19">
        <f t="shared" si="2"/>
        <v>-5.7500000000000002E-2</v>
      </c>
      <c r="K18" s="19">
        <f t="shared" si="2"/>
        <v>-1.46E-2</v>
      </c>
      <c r="L18" s="19">
        <f t="shared" si="2"/>
        <v>-2.2200000000000001E-2</v>
      </c>
      <c r="M18" s="118"/>
    </row>
    <row r="19" spans="2:20" x14ac:dyDescent="0.2">
      <c r="B19" s="25"/>
      <c r="H19" s="5"/>
      <c r="M19" s="118"/>
    </row>
    <row r="20" spans="2:20" s="100" customFormat="1" ht="15" customHeight="1" x14ac:dyDescent="0.2">
      <c r="B20" s="114" t="s">
        <v>65</v>
      </c>
      <c r="C20" s="115">
        <f>SUM(C7,C10,C17)</f>
        <v>1216.0999999999999</v>
      </c>
      <c r="D20" s="115">
        <f>SUM(D7,D10,D17)</f>
        <v>1391.5</v>
      </c>
      <c r="E20" s="115">
        <f>SUM(E7,E10,E17)</f>
        <v>1668.3</v>
      </c>
      <c r="F20" s="115">
        <f>SUM(F7,F10,F17)</f>
        <v>1692.1</v>
      </c>
      <c r="G20" s="115">
        <f>SUM(G7,G10,G17)</f>
        <v>1406.4</v>
      </c>
      <c r="H20" s="115">
        <f>SUM(H7,H12,H14,H17)</f>
        <v>1345.5776395503556</v>
      </c>
      <c r="I20" s="115">
        <f>SUM(I7,I12,I17)</f>
        <v>1251.7341806621694</v>
      </c>
      <c r="J20" s="115">
        <f>SUM(J7,J12,J17)</f>
        <v>1300.1628387564051</v>
      </c>
      <c r="K20" s="115">
        <f>SUM(K7,K12,K17)</f>
        <v>1357.9229341176469</v>
      </c>
      <c r="L20" s="115">
        <f>SUM(L7,L12,L17)</f>
        <v>1417.8112066586236</v>
      </c>
      <c r="M20" s="120"/>
    </row>
    <row r="21" spans="2:20" s="60" customFormat="1" x14ac:dyDescent="0.2">
      <c r="B21" s="108" t="s">
        <v>58</v>
      </c>
      <c r="D21" s="101">
        <f>ROUND((D20-C20)/C20, 4)</f>
        <v>0.14419999999999999</v>
      </c>
      <c r="E21" s="101">
        <f t="shared" ref="E21:L21" si="3">ROUND((E20-D20)/D20, 4)</f>
        <v>0.19889999999999999</v>
      </c>
      <c r="F21" s="101">
        <f t="shared" si="3"/>
        <v>1.43E-2</v>
      </c>
      <c r="G21" s="101">
        <f t="shared" si="3"/>
        <v>-0.16880000000000001</v>
      </c>
      <c r="H21" s="102">
        <f t="shared" si="3"/>
        <v>-4.3200000000000002E-2</v>
      </c>
      <c r="I21" s="101">
        <f t="shared" si="3"/>
        <v>-6.9699999999999998E-2</v>
      </c>
      <c r="J21" s="101">
        <f t="shared" si="3"/>
        <v>3.8699999999999998E-2</v>
      </c>
      <c r="K21" s="101">
        <f t="shared" si="3"/>
        <v>4.4400000000000002E-2</v>
      </c>
      <c r="L21" s="101">
        <f t="shared" si="3"/>
        <v>4.41E-2</v>
      </c>
      <c r="M21" s="121"/>
      <c r="T21" s="103"/>
    </row>
    <row r="22" spans="2:20" x14ac:dyDescent="0.2">
      <c r="B22" s="25"/>
      <c r="H22" s="5"/>
      <c r="M22" s="118"/>
      <c r="O22" s="104"/>
    </row>
    <row r="23" spans="2:20" x14ac:dyDescent="0.2">
      <c r="B23" s="25" t="s">
        <v>14</v>
      </c>
      <c r="C23" s="4">
        <v>750.6</v>
      </c>
      <c r="D23" s="4">
        <v>878.7</v>
      </c>
      <c r="E23" s="20">
        <v>1098.2</v>
      </c>
      <c r="F23" s="20">
        <v>1220.2</v>
      </c>
      <c r="G23" s="4">
        <v>951.7</v>
      </c>
      <c r="H23" s="7">
        <f>H20*H24</f>
        <v>858.47853403312683</v>
      </c>
      <c r="I23" s="8">
        <f t="shared" ref="I23:L23" si="4">I20*I24</f>
        <v>787.34079963650458</v>
      </c>
      <c r="J23" s="8">
        <f t="shared" si="4"/>
        <v>812.60177422275319</v>
      </c>
      <c r="K23" s="8">
        <f t="shared" si="4"/>
        <v>841.91221915294113</v>
      </c>
      <c r="L23" s="8">
        <f t="shared" si="4"/>
        <v>879.04294812834667</v>
      </c>
      <c r="M23" s="118"/>
    </row>
    <row r="24" spans="2:20" x14ac:dyDescent="0.2">
      <c r="B24" s="25" t="s">
        <v>68</v>
      </c>
      <c r="C24" s="71">
        <v>0.61719999999999997</v>
      </c>
      <c r="D24" s="71">
        <v>0.63149999999999995</v>
      </c>
      <c r="E24" s="71">
        <v>0.6583</v>
      </c>
      <c r="F24" s="71">
        <v>0.72109999999999996</v>
      </c>
      <c r="G24" s="71">
        <v>0.67669999999999997</v>
      </c>
      <c r="H24" s="105">
        <v>0.63800000000000001</v>
      </c>
      <c r="I24" s="71">
        <v>0.629</v>
      </c>
      <c r="J24" s="71">
        <v>0.625</v>
      </c>
      <c r="K24" s="13">
        <v>0.62</v>
      </c>
      <c r="L24" s="13">
        <v>0.62</v>
      </c>
      <c r="M24" s="118"/>
    </row>
    <row r="25" spans="2:20" x14ac:dyDescent="0.2">
      <c r="B25" s="31" t="s">
        <v>58</v>
      </c>
      <c r="D25" s="19">
        <f>ROUND((D23-C23)/C23, 4)</f>
        <v>0.17069999999999999</v>
      </c>
      <c r="E25" s="19">
        <f t="shared" ref="E25:L25" si="5">ROUND((E23-D23)/D23, 4)</f>
        <v>0.24979999999999999</v>
      </c>
      <c r="F25" s="19">
        <f t="shared" si="5"/>
        <v>0.1111</v>
      </c>
      <c r="G25" s="19">
        <f t="shared" si="5"/>
        <v>-0.22</v>
      </c>
      <c r="H25" s="99">
        <f t="shared" si="5"/>
        <v>-9.8000000000000004E-2</v>
      </c>
      <c r="I25" s="19">
        <f t="shared" si="5"/>
        <v>-8.2900000000000001E-2</v>
      </c>
      <c r="J25" s="19">
        <f t="shared" si="5"/>
        <v>3.2099999999999997E-2</v>
      </c>
      <c r="K25" s="19">
        <f t="shared" si="5"/>
        <v>3.61E-2</v>
      </c>
      <c r="L25" s="19">
        <f t="shared" si="5"/>
        <v>4.41E-2</v>
      </c>
      <c r="M25" s="118"/>
    </row>
    <row r="26" spans="2:20" x14ac:dyDescent="0.2">
      <c r="B26" s="25"/>
      <c r="H26" s="5"/>
      <c r="M26" s="118"/>
    </row>
    <row r="27" spans="2:20" x14ac:dyDescent="0.2">
      <c r="B27" s="25" t="s">
        <v>2</v>
      </c>
      <c r="C27" s="8">
        <f>C20-C23</f>
        <v>465.49999999999989</v>
      </c>
      <c r="D27" s="8">
        <f t="shared" ref="D27:L27" si="6">D20-D23</f>
        <v>512.79999999999995</v>
      </c>
      <c r="E27" s="8">
        <f t="shared" si="6"/>
        <v>570.09999999999991</v>
      </c>
      <c r="F27" s="8">
        <f t="shared" si="6"/>
        <v>471.89999999999986</v>
      </c>
      <c r="G27" s="8">
        <f t="shared" si="6"/>
        <v>454.70000000000005</v>
      </c>
      <c r="H27" s="7">
        <f t="shared" si="6"/>
        <v>487.09910551722874</v>
      </c>
      <c r="I27" s="8">
        <f t="shared" si="6"/>
        <v>464.39338102566478</v>
      </c>
      <c r="J27" s="8">
        <f t="shared" si="6"/>
        <v>487.56106453365192</v>
      </c>
      <c r="K27" s="8">
        <f t="shared" si="6"/>
        <v>516.01071496470581</v>
      </c>
      <c r="L27" s="8">
        <f t="shared" si="6"/>
        <v>538.76825853027697</v>
      </c>
      <c r="M27" s="118"/>
    </row>
    <row r="28" spans="2:20" ht="17" thickBot="1" x14ac:dyDescent="0.25">
      <c r="B28" s="109" t="s">
        <v>69</v>
      </c>
      <c r="C28" s="74">
        <f>C27/C20</f>
        <v>0.38278102129759062</v>
      </c>
      <c r="D28" s="74">
        <f t="shared" ref="D28:L28" si="7">D27/D20</f>
        <v>0.36852317642831472</v>
      </c>
      <c r="E28" s="74">
        <f t="shared" si="7"/>
        <v>0.34172510939279499</v>
      </c>
      <c r="F28" s="74">
        <f t="shared" si="7"/>
        <v>0.27888422670054952</v>
      </c>
      <c r="G28" s="74">
        <f t="shared" si="7"/>
        <v>0.32330773606370877</v>
      </c>
      <c r="H28" s="110">
        <f t="shared" si="7"/>
        <v>0.36199999999999999</v>
      </c>
      <c r="I28" s="74">
        <f t="shared" si="7"/>
        <v>0.37099999999999994</v>
      </c>
      <c r="J28" s="74">
        <f t="shared" si="7"/>
        <v>0.375</v>
      </c>
      <c r="K28" s="74">
        <f t="shared" si="7"/>
        <v>0.38</v>
      </c>
      <c r="L28" s="74">
        <f t="shared" si="7"/>
        <v>0.38</v>
      </c>
      <c r="M28" s="122"/>
    </row>
    <row r="29" spans="2:20" x14ac:dyDescent="0.2">
      <c r="H29" s="5"/>
    </row>
    <row r="30" spans="2:20" x14ac:dyDescent="0.2">
      <c r="H30" s="5"/>
    </row>
    <row r="31" spans="2:20" x14ac:dyDescent="0.2">
      <c r="H31" s="5"/>
    </row>
    <row r="32" spans="2:20" x14ac:dyDescent="0.2">
      <c r="H32" s="5"/>
    </row>
    <row r="33" spans="8:8" x14ac:dyDescent="0.2">
      <c r="H33" s="5"/>
    </row>
    <row r="34" spans="8:8" x14ac:dyDescent="0.2">
      <c r="H34" s="5"/>
    </row>
    <row r="35" spans="8:8" x14ac:dyDescent="0.2">
      <c r="H35" s="5"/>
    </row>
    <row r="36" spans="8:8" x14ac:dyDescent="0.2">
      <c r="H36" s="5"/>
    </row>
    <row r="37" spans="8:8" x14ac:dyDescent="0.2">
      <c r="H37" s="5"/>
    </row>
    <row r="38" spans="8:8" x14ac:dyDescent="0.2">
      <c r="H3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9DA9-894D-7D45-AAD2-8EB26CE3B6A5}">
  <dimension ref="B3:N81"/>
  <sheetViews>
    <sheetView topLeftCell="A4" zoomScale="67" zoomScaleNormal="84" workbookViewId="0">
      <selection activeCell="H51" sqref="H51"/>
    </sheetView>
  </sheetViews>
  <sheetFormatPr baseColWidth="10" defaultColWidth="10.83203125" defaultRowHeight="16" x14ac:dyDescent="0.2"/>
  <cols>
    <col min="1" max="1" width="10.83203125" style="4"/>
    <col min="2" max="2" width="35" style="4" customWidth="1"/>
    <col min="3" max="3" width="10.1640625" style="4" customWidth="1"/>
    <col min="4" max="7" width="10.83203125" style="4"/>
    <col min="8" max="8" width="12.6640625" style="4" bestFit="1" customWidth="1"/>
    <col min="9" max="11" width="11" style="4" bestFit="1" customWidth="1"/>
    <col min="12" max="12" width="12.33203125" style="4" bestFit="1" customWidth="1"/>
    <col min="13" max="16384" width="10.83203125" style="4"/>
  </cols>
  <sheetData>
    <row r="3" spans="2:14" ht="34" x14ac:dyDescent="0.4">
      <c r="B3" s="75" t="s">
        <v>4</v>
      </c>
    </row>
    <row r="5" spans="2:14" x14ac:dyDescent="0.2">
      <c r="C5" s="8"/>
      <c r="D5" s="8"/>
      <c r="E5" s="8"/>
      <c r="F5" s="8"/>
      <c r="G5" s="8"/>
      <c r="H5" s="8"/>
      <c r="I5" s="8"/>
      <c r="J5" s="8"/>
      <c r="K5" s="8"/>
      <c r="L5" s="8"/>
    </row>
    <row r="6" spans="2:14" ht="17" thickBot="1" x14ac:dyDescent="0.25"/>
    <row r="7" spans="2:14" x14ac:dyDescent="0.2">
      <c r="B7" s="111" t="s">
        <v>1</v>
      </c>
      <c r="C7" s="112">
        <v>2020</v>
      </c>
      <c r="D7" s="112">
        <v>2021</v>
      </c>
      <c r="E7" s="112">
        <v>2022</v>
      </c>
      <c r="F7" s="112">
        <v>2023</v>
      </c>
      <c r="G7" s="112">
        <v>2024</v>
      </c>
      <c r="H7" s="233">
        <v>2025</v>
      </c>
      <c r="I7" s="112">
        <v>2026</v>
      </c>
      <c r="J7" s="112">
        <v>2027</v>
      </c>
      <c r="K7" s="112">
        <v>2028</v>
      </c>
      <c r="L7" s="112">
        <v>2029</v>
      </c>
      <c r="M7" s="234" t="s">
        <v>256</v>
      </c>
    </row>
    <row r="8" spans="2:14" x14ac:dyDescent="0.2">
      <c r="B8" s="25" t="s">
        <v>5</v>
      </c>
      <c r="C8" s="83">
        <v>1216.0999999999999</v>
      </c>
      <c r="D8" s="83">
        <v>1391.5</v>
      </c>
      <c r="E8" s="83">
        <v>1668.3</v>
      </c>
      <c r="F8" s="83">
        <v>1692.1</v>
      </c>
      <c r="G8" s="83">
        <v>1406.4</v>
      </c>
      <c r="H8" s="175">
        <v>1345.5776395503556</v>
      </c>
      <c r="I8" s="83">
        <v>1251.7341806621694</v>
      </c>
      <c r="J8" s="83">
        <v>1300.1628387564051</v>
      </c>
      <c r="K8" s="83">
        <v>1357.9229341176469</v>
      </c>
      <c r="L8" s="83">
        <v>1417.8112066586236</v>
      </c>
      <c r="M8" s="26"/>
    </row>
    <row r="9" spans="2:14" s="59" customFormat="1" x14ac:dyDescent="0.2">
      <c r="B9" s="76" t="s">
        <v>70</v>
      </c>
      <c r="C9" s="89"/>
      <c r="D9" s="89"/>
      <c r="E9" s="89"/>
      <c r="F9" s="89"/>
      <c r="G9" s="89"/>
      <c r="H9" s="176"/>
      <c r="I9" s="89"/>
      <c r="J9" s="89"/>
      <c r="K9" s="89"/>
      <c r="L9" s="89"/>
      <c r="M9" s="63"/>
    </row>
    <row r="10" spans="2:14" x14ac:dyDescent="0.2">
      <c r="B10" s="25" t="s">
        <v>14</v>
      </c>
      <c r="C10" s="83">
        <v>750.6</v>
      </c>
      <c r="D10" s="83">
        <v>878.7</v>
      </c>
      <c r="E10" s="83">
        <v>1098.2</v>
      </c>
      <c r="F10" s="83">
        <v>1220.2</v>
      </c>
      <c r="G10" s="83">
        <v>951.7</v>
      </c>
      <c r="H10" s="175">
        <f>H8*H11</f>
        <v>888.08124210323467</v>
      </c>
      <c r="I10" s="83">
        <f>I8*I11</f>
        <v>794.85120472047754</v>
      </c>
      <c r="J10" s="83">
        <f t="shared" ref="J10:L10" si="0">J8*J11</f>
        <v>812.60177422275319</v>
      </c>
      <c r="K10" s="83">
        <f>K8*K11</f>
        <v>835.12260448235281</v>
      </c>
      <c r="L10" s="83">
        <f t="shared" si="0"/>
        <v>857.77578002846724</v>
      </c>
      <c r="M10" s="26"/>
    </row>
    <row r="11" spans="2:14" x14ac:dyDescent="0.2">
      <c r="B11" s="25" t="s">
        <v>71</v>
      </c>
      <c r="C11" s="55">
        <f>C10/C8</f>
        <v>0.61721897870240938</v>
      </c>
      <c r="D11" s="55">
        <f t="shared" ref="D11:G11" si="1">D10/D8</f>
        <v>0.63147682357168522</v>
      </c>
      <c r="E11" s="55">
        <f t="shared" si="1"/>
        <v>0.65827489060720501</v>
      </c>
      <c r="F11" s="55">
        <f t="shared" si="1"/>
        <v>0.72111577329945042</v>
      </c>
      <c r="G11" s="55">
        <f t="shared" si="1"/>
        <v>0.67669226393629123</v>
      </c>
      <c r="H11" s="235">
        <v>0.66</v>
      </c>
      <c r="I11" s="66">
        <v>0.63500000000000001</v>
      </c>
      <c r="J11" s="66">
        <v>0.625</v>
      </c>
      <c r="K11" s="66">
        <v>0.61499999999999999</v>
      </c>
      <c r="L11" s="66">
        <v>0.60499999999999998</v>
      </c>
      <c r="M11" s="26"/>
      <c r="N11" s="60"/>
    </row>
    <row r="12" spans="2:14" x14ac:dyDescent="0.2">
      <c r="B12" s="196" t="s">
        <v>2</v>
      </c>
      <c r="C12" s="95">
        <v>149.4</v>
      </c>
      <c r="D12" s="95">
        <v>179.3</v>
      </c>
      <c r="E12" s="95">
        <v>198.8</v>
      </c>
      <c r="F12" s="95">
        <v>183.7</v>
      </c>
      <c r="G12" s="95">
        <v>166.7</v>
      </c>
      <c r="H12" s="181">
        <f>H8-H10</f>
        <v>457.4963974471209</v>
      </c>
      <c r="I12" s="95">
        <f t="shared" ref="I12:L12" si="2">I8-I10</f>
        <v>456.88297594169183</v>
      </c>
      <c r="J12" s="95">
        <f t="shared" si="2"/>
        <v>487.56106453365192</v>
      </c>
      <c r="K12" s="95">
        <f t="shared" si="2"/>
        <v>522.80032963529413</v>
      </c>
      <c r="L12" s="95">
        <f t="shared" si="2"/>
        <v>560.03542663015639</v>
      </c>
      <c r="M12" s="96"/>
    </row>
    <row r="13" spans="2:14" x14ac:dyDescent="0.2">
      <c r="B13" s="76"/>
      <c r="C13" s="85"/>
      <c r="D13" s="85"/>
      <c r="E13" s="85"/>
      <c r="F13" s="85"/>
      <c r="G13" s="85"/>
      <c r="H13" s="177"/>
      <c r="I13" s="85"/>
      <c r="J13" s="85"/>
      <c r="K13" s="85"/>
      <c r="L13" s="85"/>
      <c r="M13" s="26"/>
    </row>
    <row r="14" spans="2:14" x14ac:dyDescent="0.2">
      <c r="B14" s="25" t="s">
        <v>6</v>
      </c>
      <c r="C14" s="85">
        <v>149.4</v>
      </c>
      <c r="D14" s="85">
        <v>179.3</v>
      </c>
      <c r="E14" s="85">
        <v>198.8</v>
      </c>
      <c r="F14" s="85">
        <v>183.7</v>
      </c>
      <c r="G14" s="85">
        <v>166.7</v>
      </c>
      <c r="H14" s="177">
        <f>H8*H56</f>
        <v>152.05027326919017</v>
      </c>
      <c r="I14" s="85">
        <f>I8*I56</f>
        <v>137.69075987283864</v>
      </c>
      <c r="J14" s="85">
        <f>J8*J56</f>
        <v>140.41758658569174</v>
      </c>
      <c r="K14" s="85">
        <f>K8*K56</f>
        <v>145.29775395058823</v>
      </c>
      <c r="L14" s="85">
        <f>L8*L56</f>
        <v>148.87017669915548</v>
      </c>
      <c r="M14" s="26"/>
    </row>
    <row r="15" spans="2:14" x14ac:dyDescent="0.2">
      <c r="B15" s="25" t="s">
        <v>7</v>
      </c>
      <c r="C15" s="85">
        <v>22.6</v>
      </c>
      <c r="D15" s="85">
        <v>26.3</v>
      </c>
      <c r="E15" s="85">
        <v>30.3</v>
      </c>
      <c r="F15" s="85">
        <v>31.8</v>
      </c>
      <c r="G15" s="85">
        <v>28.1</v>
      </c>
      <c r="H15" s="177">
        <f>H8*H57</f>
        <v>26.911552791007111</v>
      </c>
      <c r="I15" s="85">
        <f>I8*I57</f>
        <v>25.660550703574472</v>
      </c>
      <c r="J15" s="85">
        <f>J8*J57</f>
        <v>27.303419613884508</v>
      </c>
      <c r="K15" s="85">
        <f>K8*K57</f>
        <v>29.195343083529409</v>
      </c>
      <c r="L15" s="85">
        <f>L8*L57</f>
        <v>30.482940943160404</v>
      </c>
      <c r="M15" s="26"/>
    </row>
    <row r="16" spans="2:14" x14ac:dyDescent="0.2">
      <c r="B16" s="25" t="s">
        <v>8</v>
      </c>
      <c r="C16" s="85">
        <v>18.5</v>
      </c>
      <c r="D16" s="85">
        <v>16.2</v>
      </c>
      <c r="E16" s="85">
        <v>13.8</v>
      </c>
      <c r="F16" s="85">
        <v>170.2</v>
      </c>
      <c r="G16" s="85">
        <v>186.2</v>
      </c>
      <c r="H16" s="177">
        <f>H8*H58</f>
        <v>67.278881977517784</v>
      </c>
      <c r="I16" s="85">
        <f>I8*I58</f>
        <v>12.517341806621694</v>
      </c>
      <c r="J16" s="85">
        <f>J8*J58</f>
        <v>10.40130271005124</v>
      </c>
      <c r="K16" s="85">
        <f>K8*K58</f>
        <v>8.1475376047058816</v>
      </c>
      <c r="L16" s="85">
        <f>L8*L58</f>
        <v>7.0890560332931187</v>
      </c>
      <c r="M16" s="26"/>
    </row>
    <row r="17" spans="2:14" x14ac:dyDescent="0.2">
      <c r="B17" s="25" t="s">
        <v>9</v>
      </c>
      <c r="C17" s="91">
        <v>0</v>
      </c>
      <c r="D17" s="91">
        <v>0</v>
      </c>
      <c r="E17" s="91">
        <v>0</v>
      </c>
      <c r="F17" s="91">
        <v>0</v>
      </c>
      <c r="G17" s="85">
        <v>349.1</v>
      </c>
      <c r="H17" s="178">
        <v>0</v>
      </c>
      <c r="I17" s="91">
        <v>0</v>
      </c>
      <c r="J17" s="91">
        <v>0</v>
      </c>
      <c r="K17" s="91">
        <v>0</v>
      </c>
      <c r="L17" s="91">
        <v>0</v>
      </c>
      <c r="M17" s="26"/>
    </row>
    <row r="18" spans="2:14" x14ac:dyDescent="0.2">
      <c r="B18" s="79" t="s">
        <v>10</v>
      </c>
      <c r="C18" s="93">
        <v>1.8</v>
      </c>
      <c r="D18" s="93">
        <v>0.6</v>
      </c>
      <c r="E18" s="93">
        <v>5</v>
      </c>
      <c r="F18" s="93">
        <v>3.6</v>
      </c>
      <c r="G18" s="93">
        <v>0.3</v>
      </c>
      <c r="H18" s="177">
        <f>H8*H60</f>
        <v>0.67278881977517779</v>
      </c>
      <c r="I18" s="85">
        <f>I8*I60</f>
        <v>0.62586709033108467</v>
      </c>
      <c r="J18" s="85">
        <f>J8*J60</f>
        <v>0.65008141937820252</v>
      </c>
      <c r="K18" s="85">
        <f>K8*K60</f>
        <v>0.67896146705882354</v>
      </c>
      <c r="L18" s="85">
        <f>L8*L60</f>
        <v>0.70890560332931185</v>
      </c>
      <c r="M18" s="26"/>
      <c r="N18" s="60"/>
    </row>
    <row r="19" spans="2:14" x14ac:dyDescent="0.2">
      <c r="B19" s="236" t="s">
        <v>81</v>
      </c>
      <c r="C19" s="237">
        <f>SUM(C14:C18)</f>
        <v>192.3</v>
      </c>
      <c r="D19" s="237">
        <f t="shared" ref="D19:G19" si="3">SUM(D14:D18)</f>
        <v>222.4</v>
      </c>
      <c r="E19" s="237">
        <f t="shared" si="3"/>
        <v>247.90000000000003</v>
      </c>
      <c r="F19" s="237">
        <f t="shared" si="3"/>
        <v>389.3</v>
      </c>
      <c r="G19" s="237">
        <f t="shared" si="3"/>
        <v>730.4</v>
      </c>
      <c r="H19" s="181">
        <f>H14+H15+H16+H17+H18</f>
        <v>246.91349685749023</v>
      </c>
      <c r="I19" s="95">
        <f t="shared" ref="I19:L19" si="4">I14+I15+I16+I17+I18</f>
        <v>176.4945194733659</v>
      </c>
      <c r="J19" s="95">
        <f t="shared" si="4"/>
        <v>178.77239032900567</v>
      </c>
      <c r="K19" s="95">
        <f t="shared" si="4"/>
        <v>183.31959610588234</v>
      </c>
      <c r="L19" s="95">
        <f t="shared" si="4"/>
        <v>187.15107927893831</v>
      </c>
      <c r="M19" s="96"/>
    </row>
    <row r="20" spans="2:14" x14ac:dyDescent="0.2">
      <c r="B20" s="79"/>
      <c r="C20" s="93"/>
      <c r="D20" s="93"/>
      <c r="E20" s="93"/>
      <c r="F20" s="93"/>
      <c r="G20" s="93"/>
      <c r="H20" s="177"/>
      <c r="I20" s="85"/>
      <c r="J20" s="85"/>
      <c r="K20" s="85"/>
      <c r="L20" s="85"/>
      <c r="M20" s="26"/>
    </row>
    <row r="21" spans="2:14" x14ac:dyDescent="0.2">
      <c r="B21" s="76" t="s">
        <v>72</v>
      </c>
      <c r="C21" s="85">
        <f>C12-C19</f>
        <v>-42.900000000000006</v>
      </c>
      <c r="D21" s="85">
        <f t="shared" ref="D21:G21" si="5">D12-D19</f>
        <v>-43.099999999999994</v>
      </c>
      <c r="E21" s="85">
        <f t="shared" si="5"/>
        <v>-49.100000000000023</v>
      </c>
      <c r="F21" s="85">
        <f t="shared" si="5"/>
        <v>-205.60000000000002</v>
      </c>
      <c r="G21" s="85">
        <f t="shared" si="5"/>
        <v>-563.70000000000005</v>
      </c>
      <c r="H21" s="177">
        <f>H12-H19</f>
        <v>210.58290058963067</v>
      </c>
      <c r="I21" s="85">
        <f t="shared" ref="I21:L21" si="6">I12-I19</f>
        <v>280.3884564683259</v>
      </c>
      <c r="J21" s="85">
        <f t="shared" si="6"/>
        <v>308.78867420464621</v>
      </c>
      <c r="K21" s="85">
        <f t="shared" si="6"/>
        <v>339.48073352941179</v>
      </c>
      <c r="L21" s="85">
        <f t="shared" si="6"/>
        <v>372.88434735121808</v>
      </c>
      <c r="M21" s="26"/>
    </row>
    <row r="22" spans="2:14" x14ac:dyDescent="0.2">
      <c r="B22" s="30" t="s">
        <v>54</v>
      </c>
      <c r="C22" s="66">
        <v>0.22802401118329088</v>
      </c>
      <c r="D22" s="66">
        <v>0.15127560186848718</v>
      </c>
      <c r="E22" s="66">
        <v>0.19414973326140381</v>
      </c>
      <c r="F22" s="66">
        <v>4.5446486614266292E-2</v>
      </c>
      <c r="G22" s="66">
        <v>-0.31676621160409557</v>
      </c>
      <c r="H22" s="180">
        <f>H21/H8</f>
        <v>0.15650000000000003</v>
      </c>
      <c r="I22" s="55">
        <f t="shared" ref="I22:L22" si="7">I21/I8</f>
        <v>0.22399999999999998</v>
      </c>
      <c r="J22" s="55">
        <f t="shared" si="7"/>
        <v>0.23749999999999999</v>
      </c>
      <c r="K22" s="55">
        <f t="shared" si="7"/>
        <v>0.25000000000000006</v>
      </c>
      <c r="L22" s="55">
        <f t="shared" si="7"/>
        <v>0.26300000000000007</v>
      </c>
      <c r="M22" s="26"/>
    </row>
    <row r="23" spans="2:14" x14ac:dyDescent="0.2">
      <c r="B23" s="77" t="s">
        <v>75</v>
      </c>
      <c r="C23" s="92">
        <v>100.2</v>
      </c>
      <c r="D23" s="92">
        <v>109.9</v>
      </c>
      <c r="E23" s="92">
        <v>108.8</v>
      </c>
      <c r="F23" s="92">
        <v>122.8</v>
      </c>
      <c r="G23" s="92">
        <v>108.3</v>
      </c>
      <c r="H23" s="179">
        <f>H8*$H$68</f>
        <v>101.23259853121952</v>
      </c>
      <c r="I23" s="92">
        <f t="shared" ref="I23:L23" si="8">I8*$H$68</f>
        <v>94.172420865378299</v>
      </c>
      <c r="J23" s="92">
        <f t="shared" si="8"/>
        <v>97.81588130806054</v>
      </c>
      <c r="K23" s="92">
        <f t="shared" si="8"/>
        <v>102.16137901325686</v>
      </c>
      <c r="L23" s="92">
        <f t="shared" si="8"/>
        <v>106.66698706787263</v>
      </c>
      <c r="M23" s="64"/>
      <c r="N23" s="60"/>
    </row>
    <row r="24" spans="2:14" x14ac:dyDescent="0.2">
      <c r="B24" s="25" t="s">
        <v>76</v>
      </c>
      <c r="C24" s="85">
        <f>C21+C23</f>
        <v>57.3</v>
      </c>
      <c r="D24" s="85">
        <f t="shared" ref="D24:G24" si="9">D21+D23</f>
        <v>66.800000000000011</v>
      </c>
      <c r="E24" s="85">
        <f t="shared" si="9"/>
        <v>59.699999999999974</v>
      </c>
      <c r="F24" s="85">
        <f t="shared" si="9"/>
        <v>-82.800000000000026</v>
      </c>
      <c r="G24" s="85">
        <f t="shared" si="9"/>
        <v>-455.40000000000003</v>
      </c>
      <c r="H24" s="177">
        <f>H21+H23</f>
        <v>311.81549912085018</v>
      </c>
      <c r="I24" s="85">
        <f t="shared" ref="I24:L24" si="10">I21+I23</f>
        <v>374.56087733370418</v>
      </c>
      <c r="J24" s="85">
        <f t="shared" si="10"/>
        <v>406.60455551270672</v>
      </c>
      <c r="K24" s="85">
        <f t="shared" si="10"/>
        <v>441.64211254266866</v>
      </c>
      <c r="L24" s="85">
        <f t="shared" si="10"/>
        <v>479.55133441909072</v>
      </c>
      <c r="M24" s="26"/>
    </row>
    <row r="25" spans="2:14" x14ac:dyDescent="0.2">
      <c r="B25" s="25"/>
      <c r="C25" s="85"/>
      <c r="D25" s="85"/>
      <c r="E25" s="85"/>
      <c r="F25" s="85"/>
      <c r="G25" s="85"/>
      <c r="H25" s="177"/>
      <c r="I25" s="85"/>
      <c r="J25" s="85"/>
      <c r="K25" s="85"/>
      <c r="L25" s="85"/>
      <c r="M25" s="26"/>
    </row>
    <row r="26" spans="2:14" ht="17" thickBot="1" x14ac:dyDescent="0.25">
      <c r="B26" s="94" t="s">
        <v>56</v>
      </c>
      <c r="C26" s="95">
        <v>397.9</v>
      </c>
      <c r="D26" s="95">
        <v>422.2</v>
      </c>
      <c r="E26" s="95">
        <v>452.6</v>
      </c>
      <c r="F26" s="95">
        <v>377.1</v>
      </c>
      <c r="G26" s="95">
        <v>362.7</v>
      </c>
      <c r="H26" s="181">
        <f>H24+H17+H18+H16</f>
        <v>379.76716991814317</v>
      </c>
      <c r="I26" s="95">
        <f t="shared" ref="I26:L26" si="11">I24+I17+I18+I16</f>
        <v>387.70408623065697</v>
      </c>
      <c r="J26" s="95">
        <f t="shared" si="11"/>
        <v>417.65593964213616</v>
      </c>
      <c r="K26" s="95">
        <f t="shared" si="11"/>
        <v>450.46861161443331</v>
      </c>
      <c r="L26" s="95">
        <f t="shared" si="11"/>
        <v>487.34929605571313</v>
      </c>
      <c r="M26" s="96"/>
      <c r="N26" s="80"/>
    </row>
    <row r="27" spans="2:14" x14ac:dyDescent="0.2">
      <c r="B27" s="30"/>
      <c r="C27" s="85"/>
      <c r="D27" s="85"/>
      <c r="E27" s="85"/>
      <c r="F27" s="85"/>
      <c r="G27" s="85"/>
      <c r="H27" s="177"/>
      <c r="I27" s="85"/>
      <c r="J27" s="85"/>
      <c r="K27" s="85"/>
      <c r="L27" s="85"/>
      <c r="M27" s="26"/>
    </row>
    <row r="28" spans="2:14" x14ac:dyDescent="0.2">
      <c r="B28" s="76" t="s">
        <v>73</v>
      </c>
      <c r="C28" s="85"/>
      <c r="D28" s="85"/>
      <c r="E28" s="85"/>
      <c r="F28" s="85"/>
      <c r="G28" s="85"/>
      <c r="H28" s="177"/>
      <c r="I28" s="85"/>
      <c r="J28" s="85"/>
      <c r="K28" s="85"/>
      <c r="L28" s="85"/>
      <c r="M28" s="26"/>
    </row>
    <row r="29" spans="2:14" x14ac:dyDescent="0.2">
      <c r="B29" s="25" t="s">
        <v>11</v>
      </c>
      <c r="C29" s="85">
        <v>-4.0999999999999996</v>
      </c>
      <c r="D29" s="85">
        <v>79.900000000000006</v>
      </c>
      <c r="E29" s="85">
        <v>-1.7</v>
      </c>
      <c r="F29" s="85">
        <v>5.7</v>
      </c>
      <c r="G29" s="85">
        <v>169.8</v>
      </c>
      <c r="H29" s="178">
        <v>0</v>
      </c>
      <c r="I29" s="91">
        <v>0</v>
      </c>
      <c r="J29" s="91">
        <v>0</v>
      </c>
      <c r="K29" s="91">
        <v>0</v>
      </c>
      <c r="L29" s="91">
        <v>0</v>
      </c>
      <c r="M29" s="26"/>
    </row>
    <row r="30" spans="2:14" x14ac:dyDescent="0.2">
      <c r="B30" s="25" t="s">
        <v>12</v>
      </c>
      <c r="C30" s="85">
        <v>47.1</v>
      </c>
      <c r="D30" s="85">
        <v>51.7</v>
      </c>
      <c r="E30" s="85">
        <v>61.8</v>
      </c>
      <c r="F30" s="85">
        <v>93.3</v>
      </c>
      <c r="G30" s="85">
        <v>97.8</v>
      </c>
      <c r="H30" s="177">
        <f>H8*$H$62</f>
        <v>63.914937878641894</v>
      </c>
      <c r="I30" s="85">
        <f t="shared" ref="I30:L30" si="12">I8*$H$62</f>
        <v>59.457373581453048</v>
      </c>
      <c r="J30" s="85">
        <f t="shared" si="12"/>
        <v>61.757734840929245</v>
      </c>
      <c r="K30" s="85">
        <f t="shared" si="12"/>
        <v>64.501339370588227</v>
      </c>
      <c r="L30" s="85">
        <f t="shared" si="12"/>
        <v>67.346032316284621</v>
      </c>
      <c r="M30" s="26"/>
    </row>
    <row r="31" spans="2:14" x14ac:dyDescent="0.2">
      <c r="B31" s="25" t="s">
        <v>13</v>
      </c>
      <c r="C31" s="85">
        <v>4.9000000000000004</v>
      </c>
      <c r="D31" s="85">
        <v>4</v>
      </c>
      <c r="E31" s="85">
        <v>7.5</v>
      </c>
      <c r="F31" s="85">
        <v>6.3</v>
      </c>
      <c r="G31" s="85">
        <v>7.7</v>
      </c>
      <c r="H31" s="177">
        <f>H74</f>
        <v>3.8176728184355411</v>
      </c>
      <c r="I31" s="85">
        <f>I74</f>
        <v>12.060613374621433</v>
      </c>
      <c r="J31" s="85">
        <f t="shared" ref="J31:L31" si="13">J74</f>
        <v>14.706156384521986</v>
      </c>
      <c r="K31" s="85">
        <f t="shared" si="13"/>
        <v>14.635436815447422</v>
      </c>
      <c r="L31" s="85">
        <f t="shared" si="13"/>
        <v>14.724545111266806</v>
      </c>
      <c r="M31" s="26"/>
    </row>
    <row r="32" spans="2:14" s="59" customFormat="1" x14ac:dyDescent="0.2">
      <c r="B32" s="76" t="s">
        <v>154</v>
      </c>
      <c r="C32" s="88">
        <f>C29-C30+C31</f>
        <v>-46.300000000000004</v>
      </c>
      <c r="D32" s="88">
        <f t="shared" ref="D32:L32" si="14">D29-D30+D31</f>
        <v>32.200000000000003</v>
      </c>
      <c r="E32" s="88">
        <f t="shared" si="14"/>
        <v>-56</v>
      </c>
      <c r="F32" s="88">
        <f t="shared" si="14"/>
        <v>-81.3</v>
      </c>
      <c r="G32" s="88">
        <f t="shared" si="14"/>
        <v>79.700000000000017</v>
      </c>
      <c r="H32" s="182">
        <f t="shared" si="14"/>
        <v>-60.097265060206354</v>
      </c>
      <c r="I32" s="88">
        <f t="shared" si="14"/>
        <v>-47.396760206831615</v>
      </c>
      <c r="J32" s="88">
        <f t="shared" si="14"/>
        <v>-47.051578456407256</v>
      </c>
      <c r="K32" s="88">
        <f t="shared" si="14"/>
        <v>-49.865902555140806</v>
      </c>
      <c r="L32" s="88">
        <f t="shared" si="14"/>
        <v>-52.621487205017814</v>
      </c>
      <c r="M32" s="63"/>
    </row>
    <row r="33" spans="2:14" x14ac:dyDescent="0.2">
      <c r="B33" s="25"/>
      <c r="C33" s="85"/>
      <c r="D33" s="85"/>
      <c r="E33" s="85"/>
      <c r="F33" s="85"/>
      <c r="G33" s="85"/>
      <c r="H33" s="177"/>
      <c r="I33" s="85"/>
      <c r="J33" s="85"/>
      <c r="K33" s="85"/>
      <c r="L33" s="85"/>
      <c r="M33" s="26"/>
    </row>
    <row r="34" spans="2:14" x14ac:dyDescent="0.2">
      <c r="B34" s="94" t="s">
        <v>80</v>
      </c>
      <c r="C34" s="95">
        <f>C21+C32</f>
        <v>-89.200000000000017</v>
      </c>
      <c r="D34" s="95">
        <f t="shared" ref="D34:L34" si="15">D21+D32</f>
        <v>-10.899999999999991</v>
      </c>
      <c r="E34" s="95">
        <f t="shared" si="15"/>
        <v>-105.10000000000002</v>
      </c>
      <c r="F34" s="95">
        <f t="shared" si="15"/>
        <v>-286.90000000000003</v>
      </c>
      <c r="G34" s="95">
        <f t="shared" si="15"/>
        <v>-484</v>
      </c>
      <c r="H34" s="181">
        <f t="shared" si="15"/>
        <v>150.48563552942431</v>
      </c>
      <c r="I34" s="95">
        <f t="shared" si="15"/>
        <v>232.99169626149427</v>
      </c>
      <c r="J34" s="95">
        <f t="shared" si="15"/>
        <v>261.73709574823897</v>
      </c>
      <c r="K34" s="95">
        <f t="shared" si="15"/>
        <v>289.614830974271</v>
      </c>
      <c r="L34" s="95">
        <f t="shared" si="15"/>
        <v>320.2628601462003</v>
      </c>
      <c r="M34" s="96"/>
    </row>
    <row r="35" spans="2:14" x14ac:dyDescent="0.2">
      <c r="B35" s="25"/>
      <c r="C35" s="85"/>
      <c r="D35" s="85"/>
      <c r="E35" s="85"/>
      <c r="F35" s="85"/>
      <c r="G35" s="85"/>
      <c r="H35" s="177"/>
      <c r="I35" s="85"/>
      <c r="J35" s="85"/>
      <c r="K35" s="85"/>
      <c r="L35" s="85"/>
      <c r="M35" s="26"/>
    </row>
    <row r="36" spans="2:14" x14ac:dyDescent="0.2">
      <c r="B36" s="76" t="s">
        <v>74</v>
      </c>
      <c r="C36" s="85">
        <v>235.1</v>
      </c>
      <c r="D36" s="85">
        <v>162.80000000000001</v>
      </c>
      <c r="E36" s="85">
        <v>269.60000000000002</v>
      </c>
      <c r="F36" s="85">
        <v>-10.1</v>
      </c>
      <c r="G36" s="85">
        <v>-535.6</v>
      </c>
      <c r="H36" s="177">
        <f>H21*$M$45</f>
        <v>58.120880562738073</v>
      </c>
      <c r="I36" s="85">
        <f>I21*$M$45</f>
        <v>77.387213985257958</v>
      </c>
      <c r="J36" s="85">
        <f>J21*$M$45</f>
        <v>85.225674080482364</v>
      </c>
      <c r="K36" s="85">
        <f>K21*$M$45</f>
        <v>93.696682454117663</v>
      </c>
      <c r="L36" s="85">
        <f>L21*$M$45</f>
        <v>102.91607986893619</v>
      </c>
      <c r="M36" s="26"/>
    </row>
    <row r="37" spans="2:14" x14ac:dyDescent="0.2">
      <c r="B37" s="25" t="s">
        <v>16</v>
      </c>
      <c r="C37" s="85">
        <v>53.7</v>
      </c>
      <c r="D37" s="85">
        <v>44.7</v>
      </c>
      <c r="E37" s="85">
        <v>58</v>
      </c>
      <c r="F37" s="85">
        <v>-4.7</v>
      </c>
      <c r="G37" s="85">
        <v>-105.3</v>
      </c>
      <c r="H37" s="177">
        <f>H34*$M$45</f>
        <v>41.534035406121113</v>
      </c>
      <c r="I37" s="85">
        <f t="shared" ref="I37:L37" si="16">I34*$M$45</f>
        <v>64.30570816817243</v>
      </c>
      <c r="J37" s="85">
        <f t="shared" si="16"/>
        <v>72.239438426513956</v>
      </c>
      <c r="K37" s="85">
        <f t="shared" si="16"/>
        <v>79.9336933488988</v>
      </c>
      <c r="L37" s="85">
        <f t="shared" si="16"/>
        <v>88.392549400351285</v>
      </c>
      <c r="M37" s="26"/>
    </row>
    <row r="38" spans="2:14" x14ac:dyDescent="0.2">
      <c r="B38" s="25"/>
      <c r="C38" s="85"/>
      <c r="D38" s="85"/>
      <c r="E38" s="85"/>
      <c r="F38" s="85"/>
      <c r="G38" s="85"/>
      <c r="H38" s="177"/>
      <c r="I38" s="85"/>
      <c r="J38" s="85"/>
      <c r="K38" s="85"/>
      <c r="L38" s="85"/>
      <c r="M38" s="26"/>
      <c r="N38" s="60"/>
    </row>
    <row r="39" spans="2:14" x14ac:dyDescent="0.2">
      <c r="B39" s="94" t="s">
        <v>17</v>
      </c>
      <c r="C39" s="95">
        <v>181.4</v>
      </c>
      <c r="D39" s="95">
        <v>118.1</v>
      </c>
      <c r="E39" s="95">
        <v>211.6</v>
      </c>
      <c r="F39" s="95">
        <v>-5.4</v>
      </c>
      <c r="G39" s="95">
        <v>-430.3</v>
      </c>
      <c r="H39" s="181">
        <f>H34-H37</f>
        <v>108.95160012330319</v>
      </c>
      <c r="I39" s="95">
        <f t="shared" ref="I39:L39" si="17">I34-I37</f>
        <v>168.68598809332184</v>
      </c>
      <c r="J39" s="95">
        <f t="shared" si="17"/>
        <v>189.497657321725</v>
      </c>
      <c r="K39" s="95">
        <f t="shared" si="17"/>
        <v>209.6811376253722</v>
      </c>
      <c r="L39" s="95">
        <f t="shared" si="17"/>
        <v>231.870310745849</v>
      </c>
      <c r="M39" s="96"/>
    </row>
    <row r="40" spans="2:14" x14ac:dyDescent="0.2">
      <c r="B40" s="25"/>
      <c r="C40" s="85"/>
      <c r="D40" s="85"/>
      <c r="E40" s="85"/>
      <c r="F40" s="85"/>
      <c r="G40" s="85"/>
      <c r="H40" s="231"/>
      <c r="I40" s="85"/>
      <c r="J40" s="85"/>
      <c r="K40" s="85"/>
      <c r="L40" s="85"/>
      <c r="M40" s="26"/>
    </row>
    <row r="41" spans="2:14" x14ac:dyDescent="0.2">
      <c r="B41" s="25" t="s">
        <v>77</v>
      </c>
      <c r="C41" s="85">
        <v>4.3899999999999997</v>
      </c>
      <c r="D41" s="85">
        <v>2.97</v>
      </c>
      <c r="E41" s="85">
        <v>5.54</v>
      </c>
      <c r="F41" s="85">
        <v>-0.15</v>
      </c>
      <c r="G41" s="85">
        <v>-11.85</v>
      </c>
      <c r="H41" s="177">
        <f>H39/(H43/1000)</f>
        <v>2.9995209680726589</v>
      </c>
      <c r="I41" s="85">
        <f t="shared" ref="I41:L41" si="18">I39/(I43/1000)</f>
        <v>4.6440544033621078</v>
      </c>
      <c r="J41" s="85">
        <f t="shared" si="18"/>
        <v>5.2170155912706822</v>
      </c>
      <c r="K41" s="85">
        <f t="shared" si="18"/>
        <v>5.7726822571200671</v>
      </c>
      <c r="L41" s="85">
        <f t="shared" si="18"/>
        <v>6.3835671818365496</v>
      </c>
      <c r="M41" s="26"/>
    </row>
    <row r="42" spans="2:14" x14ac:dyDescent="0.2">
      <c r="B42" s="25" t="s">
        <v>78</v>
      </c>
      <c r="C42" s="85">
        <v>4.37</v>
      </c>
      <c r="D42" s="85">
        <v>2.95</v>
      </c>
      <c r="E42" s="85">
        <v>5.5</v>
      </c>
      <c r="F42" s="85">
        <v>-0.15</v>
      </c>
      <c r="G42" s="85">
        <v>-11.85</v>
      </c>
      <c r="H42" s="175">
        <f>H39/(H43/1000)</f>
        <v>2.9995209680726589</v>
      </c>
      <c r="I42" s="83">
        <f t="shared" ref="I42:L42" si="19">I39/(I43/1000)</f>
        <v>4.6440544033621078</v>
      </c>
      <c r="J42" s="83">
        <f t="shared" si="19"/>
        <v>5.2170155912706822</v>
      </c>
      <c r="K42" s="83">
        <f t="shared" si="19"/>
        <v>5.7726822571200671</v>
      </c>
      <c r="L42" s="83">
        <f t="shared" si="19"/>
        <v>6.3835671818365496</v>
      </c>
      <c r="M42" s="26"/>
    </row>
    <row r="43" spans="2:14" x14ac:dyDescent="0.2">
      <c r="B43" s="25" t="s">
        <v>79</v>
      </c>
      <c r="C43" s="97">
        <v>41547</v>
      </c>
      <c r="D43" s="97">
        <v>40059</v>
      </c>
      <c r="E43" s="97">
        <v>38471</v>
      </c>
      <c r="F43" s="97">
        <v>36496</v>
      </c>
      <c r="G43" s="97">
        <v>36323</v>
      </c>
      <c r="H43" s="232">
        <v>36323</v>
      </c>
      <c r="I43" s="97">
        <v>36323</v>
      </c>
      <c r="J43" s="97">
        <v>36323</v>
      </c>
      <c r="K43" s="97">
        <v>36323</v>
      </c>
      <c r="L43" s="97">
        <v>36323</v>
      </c>
      <c r="M43" s="26"/>
    </row>
    <row r="44" spans="2:14" x14ac:dyDescent="0.2">
      <c r="B44" s="25"/>
      <c r="H44" s="183"/>
      <c r="M44" s="26"/>
    </row>
    <row r="45" spans="2:14" ht="17" thickBot="1" x14ac:dyDescent="0.25">
      <c r="B45" s="34" t="s">
        <v>186</v>
      </c>
      <c r="C45" s="68">
        <v>0.22800000000000001</v>
      </c>
      <c r="D45" s="68">
        <v>0.27500000000000002</v>
      </c>
      <c r="E45" s="69">
        <v>0.215</v>
      </c>
      <c r="F45" s="69">
        <v>0.46500000000000002</v>
      </c>
      <c r="G45" s="69">
        <v>0.19700000000000001</v>
      </c>
      <c r="H45" s="184"/>
      <c r="I45" s="35"/>
      <c r="J45" s="35"/>
      <c r="K45" s="35"/>
      <c r="L45" s="35"/>
      <c r="M45" s="70">
        <f>AVERAGE(C45:G45)</f>
        <v>0.27600000000000002</v>
      </c>
    </row>
    <row r="46" spans="2:14" x14ac:dyDescent="0.2">
      <c r="I46" s="22"/>
    </row>
    <row r="51" spans="2:13" ht="17" thickBot="1" x14ac:dyDescent="0.25"/>
    <row r="52" spans="2:13" x14ac:dyDescent="0.2">
      <c r="B52" s="21" t="s">
        <v>1</v>
      </c>
      <c r="C52" s="22">
        <v>2020</v>
      </c>
      <c r="D52" s="22">
        <v>2021</v>
      </c>
      <c r="E52" s="22">
        <v>2022</v>
      </c>
      <c r="F52" s="22">
        <v>2023</v>
      </c>
      <c r="G52" s="22">
        <v>2024</v>
      </c>
      <c r="H52" s="22">
        <v>2025</v>
      </c>
      <c r="I52" s="22">
        <v>2026</v>
      </c>
      <c r="J52" s="22">
        <v>2027</v>
      </c>
      <c r="K52" s="174">
        <v>2028</v>
      </c>
      <c r="L52" s="22">
        <v>2029</v>
      </c>
      <c r="M52" s="24"/>
    </row>
    <row r="53" spans="2:13" x14ac:dyDescent="0.2">
      <c r="B53" s="25" t="s">
        <v>5</v>
      </c>
      <c r="C53" s="71">
        <v>1</v>
      </c>
      <c r="D53" s="71">
        <v>1</v>
      </c>
      <c r="E53" s="71">
        <v>1</v>
      </c>
      <c r="F53" s="71">
        <v>1</v>
      </c>
      <c r="G53" s="71">
        <v>1</v>
      </c>
      <c r="M53" s="26"/>
    </row>
    <row r="54" spans="2:13" x14ac:dyDescent="0.2">
      <c r="B54" s="25" t="s">
        <v>14</v>
      </c>
      <c r="C54" s="71">
        <v>0.61719999999999997</v>
      </c>
      <c r="D54" s="71">
        <v>0.63149999999999995</v>
      </c>
      <c r="E54" s="71">
        <v>0.6583</v>
      </c>
      <c r="F54" s="71">
        <v>0.72109999999999996</v>
      </c>
      <c r="G54" s="71">
        <v>0.67669999999999997</v>
      </c>
      <c r="M54" s="26"/>
    </row>
    <row r="55" spans="2:13" x14ac:dyDescent="0.2">
      <c r="B55" s="25" t="s">
        <v>2</v>
      </c>
      <c r="C55" s="71">
        <v>0.38279999999999997</v>
      </c>
      <c r="D55" s="71">
        <v>0.36849999999999999</v>
      </c>
      <c r="E55" s="71">
        <v>0.3417</v>
      </c>
      <c r="F55" s="71">
        <v>0.27889999999999998</v>
      </c>
      <c r="G55" s="71">
        <v>0.32329999999999998</v>
      </c>
      <c r="M55" s="26"/>
    </row>
    <row r="56" spans="2:13" x14ac:dyDescent="0.2">
      <c r="B56" s="25" t="s">
        <v>6</v>
      </c>
      <c r="C56" s="71">
        <v>0.1229</v>
      </c>
      <c r="D56" s="71">
        <v>0.12889999999999999</v>
      </c>
      <c r="E56" s="71">
        <v>0.1192</v>
      </c>
      <c r="F56" s="71">
        <v>0.1086</v>
      </c>
      <c r="G56" s="71">
        <v>0.11849999999999999</v>
      </c>
      <c r="H56" s="71">
        <v>0.113</v>
      </c>
      <c r="I56" s="71">
        <v>0.11</v>
      </c>
      <c r="J56" s="71">
        <v>0.108</v>
      </c>
      <c r="K56" s="71">
        <v>0.107</v>
      </c>
      <c r="L56" s="71">
        <v>0.105</v>
      </c>
      <c r="M56" s="26"/>
    </row>
    <row r="57" spans="2:13" x14ac:dyDescent="0.2">
      <c r="B57" s="25" t="s">
        <v>7</v>
      </c>
      <c r="C57" s="71">
        <v>1.8599999999999998E-2</v>
      </c>
      <c r="D57" s="71">
        <v>1.89E-2</v>
      </c>
      <c r="E57" s="71">
        <v>1.8200000000000001E-2</v>
      </c>
      <c r="F57" s="71">
        <v>1.8800000000000001E-2</v>
      </c>
      <c r="G57" s="71">
        <v>0.02</v>
      </c>
      <c r="H57" s="71">
        <v>0.02</v>
      </c>
      <c r="I57" s="71">
        <v>2.0500000000000001E-2</v>
      </c>
      <c r="J57" s="55">
        <v>2.1000000000000001E-2</v>
      </c>
      <c r="K57" s="71">
        <v>2.1499999999999998E-2</v>
      </c>
      <c r="L57" s="71">
        <v>2.1499999999999998E-2</v>
      </c>
      <c r="M57" s="26"/>
    </row>
    <row r="58" spans="2:13" x14ac:dyDescent="0.2">
      <c r="B58" s="25" t="s">
        <v>8</v>
      </c>
      <c r="C58" s="71">
        <v>1.52E-2</v>
      </c>
      <c r="D58" s="71">
        <v>1.1599999999999999E-2</v>
      </c>
      <c r="E58" s="71">
        <v>8.3000000000000001E-3</v>
      </c>
      <c r="F58" s="71">
        <v>0.10059999999999999</v>
      </c>
      <c r="G58" s="71">
        <v>0.13239999999999999</v>
      </c>
      <c r="H58" s="71">
        <v>0.05</v>
      </c>
      <c r="I58" s="71">
        <v>0.01</v>
      </c>
      <c r="J58" s="71">
        <v>8.0000000000000002E-3</v>
      </c>
      <c r="K58" s="71">
        <v>6.0000000000000001E-3</v>
      </c>
      <c r="L58" s="71">
        <v>5.0000000000000001E-3</v>
      </c>
      <c r="M58" s="26"/>
    </row>
    <row r="59" spans="2:13" x14ac:dyDescent="0.2">
      <c r="B59" s="25" t="s">
        <v>9</v>
      </c>
      <c r="C59" s="71">
        <v>0</v>
      </c>
      <c r="D59" s="71">
        <v>0</v>
      </c>
      <c r="E59" s="71">
        <v>0</v>
      </c>
      <c r="F59" s="71">
        <v>0</v>
      </c>
      <c r="G59" s="71">
        <v>0.2482</v>
      </c>
      <c r="M59" s="26"/>
    </row>
    <row r="60" spans="2:13" x14ac:dyDescent="0.2">
      <c r="B60" s="25" t="s">
        <v>10</v>
      </c>
      <c r="C60" s="71">
        <v>1.5E-3</v>
      </c>
      <c r="D60" s="71">
        <v>4.0000000000000002E-4</v>
      </c>
      <c r="E60" s="71">
        <v>3.0000000000000001E-3</v>
      </c>
      <c r="F60" s="71">
        <v>2.0999999999999999E-3</v>
      </c>
      <c r="G60" s="71">
        <v>2.0000000000000001E-4</v>
      </c>
      <c r="H60" s="19">
        <v>5.0000000000000001E-4</v>
      </c>
      <c r="I60" s="19">
        <v>5.0000000000000001E-4</v>
      </c>
      <c r="J60" s="19">
        <v>5.0000000000000001E-4</v>
      </c>
      <c r="K60" s="19">
        <v>5.0000000000000001E-4</v>
      </c>
      <c r="L60" s="19">
        <v>5.0000000000000001E-4</v>
      </c>
      <c r="M60" s="26"/>
    </row>
    <row r="61" spans="2:13" x14ac:dyDescent="0.2">
      <c r="B61" s="25" t="s">
        <v>11</v>
      </c>
      <c r="C61" s="71">
        <v>-3.3999999999999998E-3</v>
      </c>
      <c r="D61" s="71">
        <v>5.74E-2</v>
      </c>
      <c r="E61" s="71">
        <v>-1E-3</v>
      </c>
      <c r="F61" s="71">
        <v>3.3999999999999998E-3</v>
      </c>
      <c r="G61" s="71">
        <v>0.1207</v>
      </c>
      <c r="H61" s="71">
        <f>AVERAGE(C61:F61)</f>
        <v>1.41E-2</v>
      </c>
      <c r="M61" s="26"/>
    </row>
    <row r="62" spans="2:13" x14ac:dyDescent="0.2">
      <c r="B62" s="25" t="s">
        <v>12</v>
      </c>
      <c r="C62" s="71">
        <v>3.8699999999999998E-2</v>
      </c>
      <c r="D62" s="71">
        <v>3.7199999999999997E-2</v>
      </c>
      <c r="E62" s="71">
        <v>3.6999999999999998E-2</v>
      </c>
      <c r="F62" s="71">
        <v>5.5100000000000003E-2</v>
      </c>
      <c r="G62" s="71">
        <v>6.9500000000000006E-2</v>
      </c>
      <c r="H62" s="71">
        <f>AVERAGE(C62:G62)</f>
        <v>4.7500000000000001E-2</v>
      </c>
      <c r="M62" s="26"/>
    </row>
    <row r="63" spans="2:13" x14ac:dyDescent="0.2">
      <c r="B63" s="25" t="s">
        <v>13</v>
      </c>
      <c r="C63" s="71">
        <v>-4.0000000000000001E-3</v>
      </c>
      <c r="D63" s="71">
        <v>-2.8999999999999998E-3</v>
      </c>
      <c r="E63" s="71">
        <v>-4.4999999999999997E-3</v>
      </c>
      <c r="F63" s="71">
        <v>-3.7000000000000002E-3</v>
      </c>
      <c r="G63" s="71">
        <v>-5.4999999999999997E-3</v>
      </c>
      <c r="M63" s="26"/>
    </row>
    <row r="64" spans="2:13" x14ac:dyDescent="0.2">
      <c r="B64" s="25" t="s">
        <v>15</v>
      </c>
      <c r="C64" s="71">
        <v>0.1933</v>
      </c>
      <c r="D64" s="71">
        <v>0.11700000000000001</v>
      </c>
      <c r="E64" s="71">
        <v>0.16159999999999999</v>
      </c>
      <c r="F64" s="71">
        <v>-6.0000000000000001E-3</v>
      </c>
      <c r="G64" s="71">
        <v>-0.38080000000000003</v>
      </c>
      <c r="M64" s="26"/>
    </row>
    <row r="65" spans="2:13" x14ac:dyDescent="0.2">
      <c r="B65" s="25" t="s">
        <v>16</v>
      </c>
      <c r="C65" s="71">
        <v>4.4200000000000003E-2</v>
      </c>
      <c r="D65" s="71">
        <v>3.2099999999999997E-2</v>
      </c>
      <c r="E65" s="71">
        <v>3.4799999999999998E-2</v>
      </c>
      <c r="F65" s="71">
        <v>-2.8E-3</v>
      </c>
      <c r="G65" s="71">
        <v>-7.4899999999999994E-2</v>
      </c>
      <c r="M65" s="26"/>
    </row>
    <row r="66" spans="2:13" x14ac:dyDescent="0.2">
      <c r="B66" s="25" t="s">
        <v>17</v>
      </c>
      <c r="C66" s="71">
        <v>0.1492</v>
      </c>
      <c r="D66" s="71">
        <v>8.4900000000000003E-2</v>
      </c>
      <c r="E66" s="71">
        <v>0.1268</v>
      </c>
      <c r="F66" s="71">
        <v>-0.32</v>
      </c>
      <c r="G66" s="71">
        <v>-0.30599999999999999</v>
      </c>
      <c r="M66" s="26"/>
    </row>
    <row r="67" spans="2:13" x14ac:dyDescent="0.2">
      <c r="B67" s="25" t="s">
        <v>55</v>
      </c>
      <c r="C67" s="71">
        <v>0.1492</v>
      </c>
      <c r="D67" s="71">
        <v>8.4900000000000003E-2</v>
      </c>
      <c r="E67" s="71">
        <v>0.1268</v>
      </c>
      <c r="F67" s="71">
        <v>-3.2000000000000002E-3</v>
      </c>
      <c r="G67" s="71">
        <v>-0.30599999999999999</v>
      </c>
      <c r="M67" s="26"/>
    </row>
    <row r="68" spans="2:13" x14ac:dyDescent="0.2">
      <c r="B68" s="25" t="s">
        <v>126</v>
      </c>
      <c r="C68" s="19">
        <f>C23/C8</f>
        <v>8.2394539922703736E-2</v>
      </c>
      <c r="D68" s="19">
        <f t="shared" ref="D68:G68" si="20">D23/D8</f>
        <v>7.8979518505210206E-2</v>
      </c>
      <c r="E68" s="19">
        <f t="shared" si="20"/>
        <v>6.5216088233531144E-2</v>
      </c>
      <c r="F68" s="19">
        <f t="shared" si="20"/>
        <v>7.2572542993912886E-2</v>
      </c>
      <c r="G68" s="19">
        <f t="shared" si="20"/>
        <v>7.7005119453924908E-2</v>
      </c>
      <c r="H68" s="19">
        <f>AVERAGE(C68:G68)</f>
        <v>7.5233561821856573E-2</v>
      </c>
      <c r="I68" s="19"/>
      <c r="J68" s="19"/>
      <c r="K68" s="19"/>
      <c r="L68" s="19"/>
      <c r="M68" s="72"/>
    </row>
    <row r="69" spans="2:13" x14ac:dyDescent="0.2">
      <c r="B69" s="25"/>
      <c r="M69" s="26"/>
    </row>
    <row r="70" spans="2:13" x14ac:dyDescent="0.2">
      <c r="B70" s="25"/>
      <c r="H70" s="81"/>
      <c r="M70" s="26"/>
    </row>
    <row r="71" spans="2:13" x14ac:dyDescent="0.2">
      <c r="B71" s="25" t="s">
        <v>155</v>
      </c>
      <c r="C71" s="4">
        <v>257.7</v>
      </c>
      <c r="D71" s="4">
        <v>275.39999999999998</v>
      </c>
      <c r="E71" s="4">
        <v>76.7</v>
      </c>
      <c r="F71" s="4">
        <v>95.9</v>
      </c>
      <c r="G71" s="4">
        <v>68</v>
      </c>
      <c r="H71" s="8">
        <v>165.70452092501114</v>
      </c>
      <c r="I71" s="8">
        <v>263.94031690073962</v>
      </c>
      <c r="J71" s="8">
        <v>259.94880702753704</v>
      </c>
      <c r="K71" s="8">
        <v>261.42101735581883</v>
      </c>
      <c r="L71" s="8">
        <v>263.12318283389618</v>
      </c>
      <c r="M71" s="26"/>
    </row>
    <row r="72" spans="2:13" x14ac:dyDescent="0.2">
      <c r="B72" s="25"/>
      <c r="H72" s="8"/>
      <c r="I72" s="8"/>
      <c r="J72" s="8"/>
      <c r="K72" s="8"/>
      <c r="L72" s="8"/>
      <c r="M72" s="26"/>
    </row>
    <row r="73" spans="2:13" x14ac:dyDescent="0.2">
      <c r="B73" s="25"/>
      <c r="H73" s="8"/>
      <c r="I73" s="8"/>
      <c r="J73" s="8"/>
      <c r="K73" s="8"/>
      <c r="L73" s="8"/>
      <c r="M73" s="26"/>
    </row>
    <row r="74" spans="2:13" x14ac:dyDescent="0.2">
      <c r="B74" s="25" t="s">
        <v>156</v>
      </c>
      <c r="C74" s="4">
        <v>4.9000000000000004</v>
      </c>
      <c r="D74" s="4">
        <v>4</v>
      </c>
      <c r="E74" s="4">
        <v>7.5</v>
      </c>
      <c r="F74" s="4">
        <v>6.3</v>
      </c>
      <c r="G74" s="4">
        <v>7.7</v>
      </c>
      <c r="H74" s="67">
        <f>G71*$H$76</f>
        <v>3.8176728184355411</v>
      </c>
      <c r="I74" s="8">
        <f>I75*$H$76</f>
        <v>12.060613374621433</v>
      </c>
      <c r="J74" s="8">
        <f t="shared" ref="J74:L74" si="21">J75*$H$76</f>
        <v>14.706156384521986</v>
      </c>
      <c r="K74" s="8">
        <f t="shared" si="21"/>
        <v>14.635436815447422</v>
      </c>
      <c r="L74" s="8">
        <f t="shared" si="21"/>
        <v>14.724545111266806</v>
      </c>
      <c r="M74" s="26"/>
    </row>
    <row r="75" spans="2:13" x14ac:dyDescent="0.2">
      <c r="B75" s="25" t="s">
        <v>157</v>
      </c>
      <c r="D75" s="4">
        <f>(D71+C71)/2</f>
        <v>266.54999999999995</v>
      </c>
      <c r="E75" s="4">
        <f>(E71+D71)/2</f>
        <v>176.04999999999998</v>
      </c>
      <c r="F75" s="4">
        <f>(F71+E71)/2</f>
        <v>86.300000000000011</v>
      </c>
      <c r="G75" s="4">
        <f>(G71+F71)/2</f>
        <v>81.95</v>
      </c>
      <c r="H75" s="8">
        <f>(H71+G71)/2</f>
        <v>116.85226046250557</v>
      </c>
      <c r="I75" s="8">
        <f t="shared" ref="I75:L75" si="22">(I71+H71)/2</f>
        <v>214.82241891287538</v>
      </c>
      <c r="J75" s="8">
        <f t="shared" si="22"/>
        <v>261.9445619641383</v>
      </c>
      <c r="K75" s="8">
        <f t="shared" si="22"/>
        <v>260.68491219167794</v>
      </c>
      <c r="L75" s="8">
        <f t="shared" si="22"/>
        <v>262.27210009485748</v>
      </c>
      <c r="M75" s="26"/>
    </row>
    <row r="76" spans="2:13" ht="17" thickBot="1" x14ac:dyDescent="0.25">
      <c r="B76" s="34" t="s">
        <v>159</v>
      </c>
      <c r="C76" s="35"/>
      <c r="D76" s="74">
        <f>D74/D75</f>
        <v>1.5006565372350405E-2</v>
      </c>
      <c r="E76" s="74">
        <f>E74/E75</f>
        <v>4.260153365521159E-2</v>
      </c>
      <c r="F76" s="74">
        <f>F74/F75</f>
        <v>7.3001158748551551E-2</v>
      </c>
      <c r="G76" s="74">
        <f>G74/G75</f>
        <v>9.3959731543624164E-2</v>
      </c>
      <c r="H76" s="68">
        <f>AVERAGE(D76:G76)</f>
        <v>5.6142247329934426E-2</v>
      </c>
      <c r="I76" s="35"/>
      <c r="J76" s="35"/>
      <c r="K76" s="35"/>
      <c r="L76" s="35"/>
      <c r="M76" s="36"/>
    </row>
    <row r="81" spans="6:6" x14ac:dyDescent="0.2">
      <c r="F81" s="4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B0F9-6448-DD4C-AFF6-A0DCDED4373E}">
  <dimension ref="B4:M96"/>
  <sheetViews>
    <sheetView topLeftCell="A244" zoomScale="50" zoomScaleNormal="100" workbookViewId="0">
      <selection activeCell="O34" sqref="O34"/>
    </sheetView>
  </sheetViews>
  <sheetFormatPr baseColWidth="10" defaultColWidth="10.83203125" defaultRowHeight="16" x14ac:dyDescent="0.2"/>
  <cols>
    <col min="1" max="1" width="10.83203125" style="4"/>
    <col min="2" max="2" width="47" style="4" bestFit="1" customWidth="1"/>
    <col min="3" max="16384" width="10.83203125" style="4"/>
  </cols>
  <sheetData>
    <row r="4" spans="2:12" ht="26" x14ac:dyDescent="0.3">
      <c r="B4" s="37" t="s">
        <v>82</v>
      </c>
    </row>
    <row r="7" spans="2:12" ht="17" thickBot="1" x14ac:dyDescent="0.25"/>
    <row r="8" spans="2:12" ht="17" thickBot="1" x14ac:dyDescent="0.25">
      <c r="B8" s="228" t="s">
        <v>1</v>
      </c>
      <c r="C8" s="229">
        <v>2020</v>
      </c>
      <c r="D8" s="229">
        <v>2021</v>
      </c>
      <c r="E8" s="229">
        <v>2022</v>
      </c>
      <c r="F8" s="229">
        <v>2023</v>
      </c>
      <c r="G8" s="229">
        <v>2024</v>
      </c>
      <c r="H8" s="229">
        <v>2025</v>
      </c>
      <c r="I8" s="229">
        <v>2026</v>
      </c>
      <c r="J8" s="229">
        <v>2027</v>
      </c>
      <c r="K8" s="229">
        <v>2028</v>
      </c>
      <c r="L8" s="230">
        <v>2029</v>
      </c>
    </row>
    <row r="9" spans="2:12" x14ac:dyDescent="0.2">
      <c r="B9" s="185" t="s">
        <v>84</v>
      </c>
      <c r="C9" s="186"/>
      <c r="D9" s="186"/>
      <c r="E9" s="186"/>
      <c r="F9" s="186"/>
      <c r="G9" s="186"/>
      <c r="H9" s="186"/>
      <c r="I9" s="186"/>
      <c r="J9" s="186"/>
      <c r="K9" s="186"/>
      <c r="L9" s="187"/>
    </row>
    <row r="10" spans="2:12" x14ac:dyDescent="0.2">
      <c r="B10" s="30" t="s">
        <v>85</v>
      </c>
      <c r="C10" s="97"/>
      <c r="D10" s="97"/>
      <c r="E10" s="97"/>
      <c r="F10" s="97"/>
      <c r="G10" s="97"/>
      <c r="H10" s="97"/>
      <c r="I10" s="97"/>
      <c r="J10" s="97"/>
      <c r="K10" s="97"/>
      <c r="L10" s="188"/>
    </row>
    <row r="11" spans="2:12" x14ac:dyDescent="0.2">
      <c r="B11" s="25" t="s">
        <v>107</v>
      </c>
      <c r="C11" s="61">
        <v>257.7</v>
      </c>
      <c r="D11" s="61">
        <v>275.39999999999998</v>
      </c>
      <c r="E11" s="61">
        <v>76.7</v>
      </c>
      <c r="F11" s="61">
        <v>95.9</v>
      </c>
      <c r="G11" s="61">
        <v>68</v>
      </c>
      <c r="H11" s="61">
        <f>'Cash Flow'!H68</f>
        <v>182.29680182017239</v>
      </c>
      <c r="I11" s="61">
        <f>'Cash Flow'!I68</f>
        <v>174.96878986895138</v>
      </c>
      <c r="J11" s="61">
        <f>'Cash Flow'!J68</f>
        <v>231.0991483186074</v>
      </c>
      <c r="K11" s="61">
        <f>'Cash Flow'!K68</f>
        <v>293.22026443992382</v>
      </c>
      <c r="L11" s="189">
        <f>'Cash Flow'!L68</f>
        <v>358.72573713617294</v>
      </c>
    </row>
    <row r="12" spans="2:12" x14ac:dyDescent="0.2">
      <c r="B12" s="25" t="s">
        <v>86</v>
      </c>
      <c r="C12" s="97">
        <v>148</v>
      </c>
      <c r="D12" s="97">
        <v>161.69999999999999</v>
      </c>
      <c r="E12" s="97">
        <v>224.8</v>
      </c>
      <c r="F12" s="97">
        <v>182</v>
      </c>
      <c r="G12" s="97">
        <v>141</v>
      </c>
      <c r="H12" s="97">
        <f>42.73*(H68/365)</f>
        <v>157.52474667941559</v>
      </c>
      <c r="I12" s="97">
        <f t="shared" ref="I12:L12" si="0">42.73*(I68/365)</f>
        <v>146.53863435532739</v>
      </c>
      <c r="J12" s="97">
        <f t="shared" si="0"/>
        <v>152.20810438372928</v>
      </c>
      <c r="K12" s="97">
        <f t="shared" si="0"/>
        <v>158.96999171190973</v>
      </c>
      <c r="L12" s="188">
        <f t="shared" si="0"/>
        <v>165.98102153567942</v>
      </c>
    </row>
    <row r="13" spans="2:12" x14ac:dyDescent="0.2">
      <c r="B13" s="25" t="s">
        <v>87</v>
      </c>
      <c r="C13" s="97">
        <v>189</v>
      </c>
      <c r="D13" s="97">
        <v>241.2</v>
      </c>
      <c r="E13" s="97">
        <v>335</v>
      </c>
      <c r="F13" s="97">
        <v>308.8</v>
      </c>
      <c r="G13" s="97">
        <v>226.8</v>
      </c>
      <c r="H13" s="97">
        <f>$H$76*(H70/365)</f>
        <v>234.68215924883671</v>
      </c>
      <c r="I13" s="97">
        <f t="shared" ref="I13:L13" si="1">$H$76*(I70/365)</f>
        <v>210.04541945235329</v>
      </c>
      <c r="J13" s="97">
        <f t="shared" si="1"/>
        <v>214.7361411804971</v>
      </c>
      <c r="K13" s="97">
        <f t="shared" si="1"/>
        <v>220.68744025408458</v>
      </c>
      <c r="L13" s="188">
        <f t="shared" si="1"/>
        <v>226.67371256675557</v>
      </c>
    </row>
    <row r="14" spans="2:12" x14ac:dyDescent="0.2">
      <c r="B14" s="25" t="s">
        <v>88</v>
      </c>
      <c r="C14" s="97">
        <v>34</v>
      </c>
      <c r="D14" s="97">
        <v>46.6</v>
      </c>
      <c r="E14" s="97">
        <v>46.8</v>
      </c>
      <c r="F14" s="97">
        <v>71.900000000000006</v>
      </c>
      <c r="G14" s="97">
        <v>57.4</v>
      </c>
      <c r="H14" s="97">
        <v>57.4</v>
      </c>
      <c r="I14" s="97">
        <v>57.4</v>
      </c>
      <c r="J14" s="97">
        <v>57.4</v>
      </c>
      <c r="K14" s="97">
        <v>57.4</v>
      </c>
      <c r="L14" s="188">
        <v>57.4</v>
      </c>
    </row>
    <row r="15" spans="2:12" x14ac:dyDescent="0.2">
      <c r="B15" s="25" t="s">
        <v>89</v>
      </c>
      <c r="C15" s="97">
        <f>SUM(C11:C14)</f>
        <v>628.70000000000005</v>
      </c>
      <c r="D15" s="97">
        <f t="shared" ref="D15:L15" si="2">SUM(D11:D14)</f>
        <v>724.9</v>
      </c>
      <c r="E15" s="97">
        <f t="shared" si="2"/>
        <v>683.3</v>
      </c>
      <c r="F15" s="97">
        <f t="shared" si="2"/>
        <v>658.6</v>
      </c>
      <c r="G15" s="97">
        <f t="shared" si="2"/>
        <v>493.2</v>
      </c>
      <c r="H15" s="97">
        <f t="shared" si="2"/>
        <v>631.90370774842461</v>
      </c>
      <c r="I15" s="97">
        <f t="shared" si="2"/>
        <v>588.95284367663203</v>
      </c>
      <c r="J15" s="97">
        <f t="shared" si="2"/>
        <v>655.44339388283367</v>
      </c>
      <c r="K15" s="97">
        <f t="shared" si="2"/>
        <v>730.27769640591805</v>
      </c>
      <c r="L15" s="188">
        <f t="shared" si="2"/>
        <v>808.7804712386079</v>
      </c>
    </row>
    <row r="16" spans="2:12" x14ac:dyDescent="0.2">
      <c r="B16" s="25"/>
      <c r="C16" s="97"/>
      <c r="D16" s="97"/>
      <c r="E16" s="97"/>
      <c r="F16" s="97"/>
      <c r="G16" s="97"/>
      <c r="H16" s="97"/>
      <c r="I16" s="97"/>
      <c r="J16" s="97"/>
      <c r="K16" s="97"/>
      <c r="L16" s="188"/>
    </row>
    <row r="17" spans="2:12" x14ac:dyDescent="0.2">
      <c r="B17" s="30" t="s">
        <v>90</v>
      </c>
      <c r="C17" s="97"/>
      <c r="D17" s="97"/>
      <c r="E17" s="97"/>
      <c r="F17" s="97"/>
      <c r="G17" s="97"/>
      <c r="H17" s="97"/>
      <c r="I17" s="97"/>
      <c r="J17" s="97"/>
      <c r="K17" s="97"/>
      <c r="L17" s="188"/>
    </row>
    <row r="18" spans="2:12" x14ac:dyDescent="0.2">
      <c r="B18" s="25" t="s">
        <v>91</v>
      </c>
      <c r="C18" s="97">
        <v>703.6</v>
      </c>
      <c r="D18" s="97">
        <v>719.7</v>
      </c>
      <c r="E18" s="97">
        <v>798.6</v>
      </c>
      <c r="F18" s="97">
        <v>762.2</v>
      </c>
      <c r="G18" s="97">
        <v>658.9</v>
      </c>
      <c r="H18" s="97">
        <f>G18+'Cash Flow'!H40-'Cash Flow'!H11</f>
        <v>624.94628344629825</v>
      </c>
      <c r="I18" s="97">
        <f>H18+'Cash Flow'!I40-'Cash Flow'!I11</f>
        <v>593.36057161402846</v>
      </c>
      <c r="J18" s="97">
        <f>I18+'Cash Flow'!J40-'Cash Flow'!J11</f>
        <v>560.5528322437882</v>
      </c>
      <c r="K18" s="97">
        <f>J18+'Cash Flow'!K40-'Cash Flow'!K11</f>
        <v>526.2875999364137</v>
      </c>
      <c r="L18" s="188">
        <f>K18+'Cash Flow'!L40-'Cash Flow'!L11</f>
        <v>490.51117320147222</v>
      </c>
    </row>
    <row r="19" spans="2:12" x14ac:dyDescent="0.2">
      <c r="B19" s="25" t="s">
        <v>108</v>
      </c>
      <c r="C19" s="97">
        <v>49.1</v>
      </c>
      <c r="D19" s="97">
        <v>52.4</v>
      </c>
      <c r="E19" s="97">
        <v>56.6</v>
      </c>
      <c r="F19" s="97">
        <v>67.099999999999994</v>
      </c>
      <c r="G19" s="97">
        <v>50.4</v>
      </c>
      <c r="H19" s="97">
        <f>G19*(1-0.05)</f>
        <v>47.879999999999995</v>
      </c>
      <c r="I19" s="97">
        <f t="shared" ref="I19:L19" si="3">H19*(1-0.05)</f>
        <v>45.485999999999997</v>
      </c>
      <c r="J19" s="97">
        <f t="shared" si="3"/>
        <v>43.211699999999993</v>
      </c>
      <c r="K19" s="97">
        <f t="shared" si="3"/>
        <v>41.051114999999989</v>
      </c>
      <c r="L19" s="188">
        <f t="shared" si="3"/>
        <v>38.998559249999985</v>
      </c>
    </row>
    <row r="20" spans="2:12" x14ac:dyDescent="0.2">
      <c r="B20" s="25" t="s">
        <v>92</v>
      </c>
      <c r="C20" s="97">
        <v>445.3</v>
      </c>
      <c r="D20" s="97">
        <v>442</v>
      </c>
      <c r="E20" s="97">
        <v>518.5</v>
      </c>
      <c r="F20" s="97">
        <v>527.5</v>
      </c>
      <c r="G20" s="97">
        <v>175.2</v>
      </c>
      <c r="H20" s="97">
        <v>175.2</v>
      </c>
      <c r="I20" s="97">
        <v>175.2</v>
      </c>
      <c r="J20" s="97">
        <v>175.2</v>
      </c>
      <c r="K20" s="97">
        <v>175.2</v>
      </c>
      <c r="L20" s="188">
        <v>175.2</v>
      </c>
    </row>
    <row r="21" spans="2:12" x14ac:dyDescent="0.2">
      <c r="B21" s="25" t="s">
        <v>93</v>
      </c>
      <c r="C21" s="97">
        <v>373.3</v>
      </c>
      <c r="D21" s="97">
        <v>337.3</v>
      </c>
      <c r="E21" s="97">
        <v>404.8</v>
      </c>
      <c r="F21" s="97">
        <v>336.1</v>
      </c>
      <c r="G21" s="97">
        <v>278.8</v>
      </c>
      <c r="H21" s="97">
        <f>G21-$C$95</f>
        <v>302.42500000000001</v>
      </c>
      <c r="I21" s="97">
        <f t="shared" ref="I21:L21" si="4">H21-$C$95</f>
        <v>326.05</v>
      </c>
      <c r="J21" s="97">
        <f t="shared" si="4"/>
        <v>349.67500000000001</v>
      </c>
      <c r="K21" s="97">
        <f t="shared" si="4"/>
        <v>373.3</v>
      </c>
      <c r="L21" s="188">
        <f t="shared" si="4"/>
        <v>396.92500000000001</v>
      </c>
    </row>
    <row r="22" spans="2:12" s="10" customFormat="1" x14ac:dyDescent="0.2">
      <c r="B22" s="249" t="s">
        <v>257</v>
      </c>
      <c r="C22" s="191"/>
      <c r="D22" s="191">
        <f>D21-C21</f>
        <v>-36</v>
      </c>
      <c r="E22" s="191">
        <f t="shared" ref="E22:G22" si="5">E21-D21</f>
        <v>67.5</v>
      </c>
      <c r="F22" s="191">
        <f t="shared" si="5"/>
        <v>-68.699999999999989</v>
      </c>
      <c r="G22" s="191">
        <f t="shared" si="5"/>
        <v>-57.300000000000011</v>
      </c>
      <c r="H22" s="191">
        <f t="shared" ref="H22" si="6">H21-G21</f>
        <v>23.625</v>
      </c>
      <c r="I22" s="191">
        <f t="shared" ref="I22" si="7">I21-H21</f>
        <v>23.625</v>
      </c>
      <c r="J22" s="191">
        <f t="shared" ref="J22" si="8">J21-I21</f>
        <v>23.625</v>
      </c>
      <c r="K22" s="191">
        <f t="shared" ref="K22" si="9">K21-J21</f>
        <v>23.625</v>
      </c>
      <c r="L22" s="192">
        <f t="shared" ref="L22" si="10">L21-K21</f>
        <v>23.625</v>
      </c>
    </row>
    <row r="23" spans="2:12" x14ac:dyDescent="0.2">
      <c r="B23" s="25" t="s">
        <v>109</v>
      </c>
      <c r="C23" s="97">
        <v>8.1</v>
      </c>
      <c r="D23" s="97">
        <v>6.8</v>
      </c>
      <c r="E23" s="97">
        <v>5.7</v>
      </c>
      <c r="F23" s="97">
        <v>11.6</v>
      </c>
      <c r="G23" s="97">
        <v>117.9</v>
      </c>
      <c r="H23" s="97">
        <f>(C23+D23+E23+F23)/4</f>
        <v>8.0499999999999989</v>
      </c>
      <c r="I23" s="97">
        <v>8.1</v>
      </c>
      <c r="J23" s="97">
        <v>8.1</v>
      </c>
      <c r="K23" s="97">
        <v>8.1</v>
      </c>
      <c r="L23" s="188">
        <v>8.1</v>
      </c>
    </row>
    <row r="24" spans="2:12" x14ac:dyDescent="0.2">
      <c r="B24" s="25" t="s">
        <v>110</v>
      </c>
      <c r="C24" s="97">
        <v>0</v>
      </c>
      <c r="D24" s="97">
        <v>0</v>
      </c>
      <c r="E24" s="97">
        <v>109.8</v>
      </c>
      <c r="F24" s="97">
        <v>99.2</v>
      </c>
      <c r="G24" s="97">
        <v>87.3</v>
      </c>
      <c r="H24" s="97">
        <f>G24*(1-0.05)</f>
        <v>82.934999999999988</v>
      </c>
      <c r="I24" s="97">
        <f t="shared" ref="I24:L24" si="11">H24*(1-0.05)</f>
        <v>78.788249999999991</v>
      </c>
      <c r="J24" s="97">
        <f t="shared" si="11"/>
        <v>74.848837499999988</v>
      </c>
      <c r="K24" s="97">
        <f t="shared" si="11"/>
        <v>71.10639562499999</v>
      </c>
      <c r="L24" s="188">
        <f t="shared" si="11"/>
        <v>67.551075843749985</v>
      </c>
    </row>
    <row r="25" spans="2:12" x14ac:dyDescent="0.2">
      <c r="B25" s="25" t="s">
        <v>94</v>
      </c>
      <c r="C25" s="97">
        <f>73.6+52.8</f>
        <v>126.39999999999999</v>
      </c>
      <c r="D25" s="97">
        <f>76.1+109.5</f>
        <v>185.6</v>
      </c>
      <c r="E25" s="97">
        <f>78+81.2</f>
        <v>159.19999999999999</v>
      </c>
      <c r="F25" s="97">
        <f>79.1+81.9</f>
        <v>161</v>
      </c>
      <c r="G25" s="97">
        <f>81.6+79.3</f>
        <v>160.89999999999998</v>
      </c>
      <c r="H25" s="97">
        <f t="shared" ref="H25:L25" si="12">81.6+79.3</f>
        <v>160.89999999999998</v>
      </c>
      <c r="I25" s="97">
        <f t="shared" si="12"/>
        <v>160.89999999999998</v>
      </c>
      <c r="J25" s="97">
        <f t="shared" si="12"/>
        <v>160.89999999999998</v>
      </c>
      <c r="K25" s="97">
        <f t="shared" si="12"/>
        <v>160.89999999999998</v>
      </c>
      <c r="L25" s="188">
        <f t="shared" si="12"/>
        <v>160.89999999999998</v>
      </c>
    </row>
    <row r="26" spans="2:12" x14ac:dyDescent="0.2">
      <c r="B26" s="25" t="s">
        <v>95</v>
      </c>
      <c r="C26" s="97">
        <f>C18+C19+C20+C21+C23+C24+C25</f>
        <v>1705.8</v>
      </c>
      <c r="D26" s="97">
        <f t="shared" ref="D26:F26" si="13">D18+D19+D20+D21+D23+D24+D25</f>
        <v>1743.7999999999997</v>
      </c>
      <c r="E26" s="97">
        <f t="shared" si="13"/>
        <v>2053.1999999999998</v>
      </c>
      <c r="F26" s="97">
        <f t="shared" si="13"/>
        <v>1964.7</v>
      </c>
      <c r="G26" s="97">
        <f>G18+G19+G20+G21+G23+G24+G25</f>
        <v>1529.4</v>
      </c>
      <c r="H26" s="97">
        <f t="shared" ref="H26:L26" si="14">H18+H19+H20+H21+H23+H24+H25</f>
        <v>1402.3362834462982</v>
      </c>
      <c r="I26" s="97">
        <f t="shared" si="14"/>
        <v>1387.8848216140282</v>
      </c>
      <c r="J26" s="97">
        <f t="shared" si="14"/>
        <v>1372.4883697437881</v>
      </c>
      <c r="K26" s="97">
        <f t="shared" si="14"/>
        <v>1355.9451105614135</v>
      </c>
      <c r="L26" s="188">
        <f t="shared" si="14"/>
        <v>1338.1858082952222</v>
      </c>
    </row>
    <row r="27" spans="2:12" x14ac:dyDescent="0.2">
      <c r="B27" s="25"/>
      <c r="C27" s="97"/>
      <c r="D27" s="97"/>
      <c r="E27" s="97"/>
      <c r="F27" s="97"/>
      <c r="G27" s="97"/>
      <c r="H27" s="97"/>
      <c r="I27" s="97"/>
      <c r="J27" s="97"/>
      <c r="K27" s="97"/>
      <c r="L27" s="188"/>
    </row>
    <row r="28" spans="2:12" x14ac:dyDescent="0.2">
      <c r="B28" s="196" t="s">
        <v>96</v>
      </c>
      <c r="C28" s="197">
        <f>C15+C26</f>
        <v>2334.5</v>
      </c>
      <c r="D28" s="197">
        <f t="shared" ref="D28:K28" si="15">D15+D26</f>
        <v>2468.6999999999998</v>
      </c>
      <c r="E28" s="197">
        <f t="shared" si="15"/>
        <v>2736.5</v>
      </c>
      <c r="F28" s="197">
        <f t="shared" si="15"/>
        <v>2623.3</v>
      </c>
      <c r="G28" s="197">
        <f t="shared" si="15"/>
        <v>2022.6000000000001</v>
      </c>
      <c r="H28" s="197">
        <f t="shared" si="15"/>
        <v>2034.2399911947227</v>
      </c>
      <c r="I28" s="197">
        <f t="shared" si="15"/>
        <v>1976.8376652906602</v>
      </c>
      <c r="J28" s="197">
        <f t="shared" si="15"/>
        <v>2027.9317636266219</v>
      </c>
      <c r="K28" s="197">
        <f t="shared" si="15"/>
        <v>2086.2228069673315</v>
      </c>
      <c r="L28" s="198">
        <f>L15+L26</f>
        <v>2146.9662795338299</v>
      </c>
    </row>
    <row r="29" spans="2:12" x14ac:dyDescent="0.2">
      <c r="B29" s="25"/>
      <c r="C29" s="97"/>
      <c r="D29" s="97"/>
      <c r="E29" s="97"/>
      <c r="F29" s="97"/>
      <c r="G29" s="97"/>
      <c r="H29" s="97"/>
      <c r="I29" s="97"/>
      <c r="J29" s="97"/>
      <c r="K29" s="97"/>
      <c r="L29" s="188"/>
    </row>
    <row r="30" spans="2:12" x14ac:dyDescent="0.2">
      <c r="B30" s="76" t="s">
        <v>97</v>
      </c>
      <c r="C30" s="97"/>
      <c r="D30" s="97"/>
      <c r="E30" s="97"/>
      <c r="F30" s="97"/>
      <c r="G30" s="97"/>
      <c r="H30" s="97"/>
      <c r="I30" s="97"/>
      <c r="J30" s="97"/>
      <c r="K30" s="97"/>
      <c r="L30" s="188"/>
    </row>
    <row r="31" spans="2:12" s="10" customFormat="1" x14ac:dyDescent="0.2">
      <c r="B31" s="190" t="s">
        <v>115</v>
      </c>
      <c r="C31" s="191"/>
      <c r="D31" s="191"/>
      <c r="E31" s="191"/>
      <c r="F31" s="191"/>
      <c r="G31" s="191"/>
      <c r="H31" s="191"/>
      <c r="I31" s="191"/>
      <c r="J31" s="191"/>
      <c r="K31" s="191"/>
      <c r="L31" s="192"/>
    </row>
    <row r="32" spans="2:12" x14ac:dyDescent="0.2">
      <c r="B32" s="25" t="s">
        <v>98</v>
      </c>
      <c r="C32" s="97">
        <v>104.2</v>
      </c>
      <c r="D32" s="97">
        <v>125.8</v>
      </c>
      <c r="E32" s="97">
        <v>174.8</v>
      </c>
      <c r="F32" s="97">
        <v>158.4</v>
      </c>
      <c r="G32" s="97">
        <v>94.5</v>
      </c>
      <c r="H32" s="97">
        <f>$H$77*(H70/365)</f>
        <v>119.91286557757759</v>
      </c>
      <c r="I32" s="97">
        <f>$H$77*(I70/365)</f>
        <v>107.32451170806581</v>
      </c>
      <c r="J32" s="97">
        <f>$H$77*(J70/365)</f>
        <v>109.72127627614842</v>
      </c>
      <c r="K32" s="97">
        <f>$H$77*(K70/365)</f>
        <v>112.76214366933776</v>
      </c>
      <c r="L32" s="188">
        <f>$H$77*(L70/365)</f>
        <v>115.82088093951502</v>
      </c>
    </row>
    <row r="33" spans="2:13" x14ac:dyDescent="0.2">
      <c r="B33" s="25" t="s">
        <v>111</v>
      </c>
      <c r="C33" s="97">
        <v>46.6</v>
      </c>
      <c r="D33" s="97">
        <v>51.7</v>
      </c>
      <c r="E33" s="97">
        <v>54.4</v>
      </c>
      <c r="F33" s="97">
        <v>72.3</v>
      </c>
      <c r="G33" s="97">
        <v>58.1</v>
      </c>
      <c r="H33" s="97">
        <f>$H$82*H80</f>
        <v>47.382722552401013</v>
      </c>
      <c r="I33" s="97">
        <f>$H$82*I80</f>
        <v>33.869314373902135</v>
      </c>
      <c r="J33" s="97">
        <f>$H$82*J80</f>
        <v>34.306437998720732</v>
      </c>
      <c r="K33" s="97">
        <f>$H$82*K80</f>
        <v>35.179047201767972</v>
      </c>
      <c r="L33" s="188">
        <f>$H$82*L80</f>
        <v>35.914309171905984</v>
      </c>
    </row>
    <row r="34" spans="2:13" x14ac:dyDescent="0.2">
      <c r="B34" s="25" t="s">
        <v>112</v>
      </c>
      <c r="C34" s="97">
        <v>25.1</v>
      </c>
      <c r="D34" s="97">
        <v>48.2</v>
      </c>
      <c r="E34" s="97">
        <v>53.3</v>
      </c>
      <c r="F34" s="97">
        <v>19.899999999999999</v>
      </c>
      <c r="G34" s="97">
        <v>27.7</v>
      </c>
      <c r="H34" s="97">
        <f>$C$86*H85</f>
        <v>32.228438747389518</v>
      </c>
      <c r="I34" s="97">
        <f t="shared" ref="I34:L34" si="16">$C$86*I85</f>
        <v>23.036986161110161</v>
      </c>
      <c r="J34" s="97">
        <f t="shared" si="16"/>
        <v>23.334305757972139</v>
      </c>
      <c r="K34" s="97">
        <f t="shared" si="16"/>
        <v>23.927830796971641</v>
      </c>
      <c r="L34" s="188">
        <f t="shared" si="16"/>
        <v>24.427935984926425</v>
      </c>
    </row>
    <row r="35" spans="2:13" x14ac:dyDescent="0.2">
      <c r="B35" s="25" t="s">
        <v>113</v>
      </c>
      <c r="C35" s="97">
        <v>16.2</v>
      </c>
      <c r="D35" s="97">
        <v>17.399999999999999</v>
      </c>
      <c r="E35" s="97">
        <v>16.5</v>
      </c>
      <c r="F35" s="97">
        <v>18.7</v>
      </c>
      <c r="G35" s="97">
        <v>16.899999999999999</v>
      </c>
      <c r="H35" s="4">
        <v>15.86</v>
      </c>
      <c r="I35" s="97">
        <v>15.555</v>
      </c>
      <c r="J35" s="97">
        <v>15.25</v>
      </c>
      <c r="K35" s="97">
        <v>14.945</v>
      </c>
      <c r="L35" s="188">
        <v>14.64</v>
      </c>
    </row>
    <row r="36" spans="2:13" x14ac:dyDescent="0.2">
      <c r="B36" s="25" t="s">
        <v>114</v>
      </c>
      <c r="C36" s="97">
        <v>26</v>
      </c>
      <c r="D36" s="248">
        <v>19.600000000000001</v>
      </c>
      <c r="E36" s="97">
        <v>0.9</v>
      </c>
      <c r="F36" s="97">
        <v>84.4</v>
      </c>
      <c r="G36" s="97">
        <v>61.3</v>
      </c>
      <c r="H36" s="97">
        <v>61.3</v>
      </c>
      <c r="I36" s="97">
        <v>61.3</v>
      </c>
      <c r="J36" s="97">
        <v>61.3</v>
      </c>
      <c r="K36" s="97">
        <v>61.3</v>
      </c>
      <c r="L36" s="188">
        <v>61.3</v>
      </c>
    </row>
    <row r="37" spans="2:13" x14ac:dyDescent="0.2">
      <c r="B37" s="250" t="s">
        <v>99</v>
      </c>
      <c r="C37" s="251">
        <v>5.3</v>
      </c>
      <c r="D37" s="251">
        <v>6.2</v>
      </c>
      <c r="E37" s="251">
        <v>3.6</v>
      </c>
      <c r="F37" s="251">
        <v>9.1999999999999993</v>
      </c>
      <c r="G37" s="251">
        <v>5.6</v>
      </c>
      <c r="H37" s="251">
        <v>5.6</v>
      </c>
      <c r="I37" s="251">
        <v>5.6</v>
      </c>
      <c r="J37" s="251">
        <v>5.6</v>
      </c>
      <c r="K37" s="251">
        <v>5.6</v>
      </c>
      <c r="L37" s="252">
        <v>5.6</v>
      </c>
    </row>
    <row r="38" spans="2:13" x14ac:dyDescent="0.2">
      <c r="B38" s="30" t="s">
        <v>116</v>
      </c>
      <c r="C38" s="97">
        <f>SUM(C32:C37)</f>
        <v>223.4</v>
      </c>
      <c r="D38" s="97">
        <f t="shared" ref="D38:G38" si="17">SUM(D32:D37)</f>
        <v>268.89999999999998</v>
      </c>
      <c r="E38" s="97">
        <f t="shared" si="17"/>
        <v>303.5</v>
      </c>
      <c r="F38" s="97">
        <f t="shared" si="17"/>
        <v>362.90000000000003</v>
      </c>
      <c r="G38" s="97">
        <f t="shared" si="17"/>
        <v>264.10000000000002</v>
      </c>
      <c r="H38" s="97">
        <f>SUM(H32:H37)</f>
        <v>282.28402687736815</v>
      </c>
      <c r="I38" s="97">
        <f t="shared" ref="I38:L38" si="18">SUM(I32:I37)</f>
        <v>246.68581224307812</v>
      </c>
      <c r="J38" s="97">
        <f t="shared" si="18"/>
        <v>249.51202003284126</v>
      </c>
      <c r="K38" s="97">
        <f t="shared" si="18"/>
        <v>253.71402166807738</v>
      </c>
      <c r="L38" s="188">
        <f t="shared" si="18"/>
        <v>257.70312609634743</v>
      </c>
    </row>
    <row r="39" spans="2:13" x14ac:dyDescent="0.2">
      <c r="B39" s="30"/>
      <c r="C39" s="97"/>
      <c r="D39" s="97"/>
      <c r="E39" s="97"/>
      <c r="F39" s="97"/>
      <c r="G39" s="97"/>
      <c r="H39" s="97"/>
      <c r="I39" s="97"/>
      <c r="J39" s="97"/>
      <c r="K39" s="97"/>
      <c r="L39" s="188"/>
    </row>
    <row r="40" spans="2:13" x14ac:dyDescent="0.2">
      <c r="B40" s="30" t="s">
        <v>117</v>
      </c>
      <c r="C40" s="97"/>
      <c r="D40" s="97"/>
      <c r="E40" s="97"/>
      <c r="F40" s="97"/>
      <c r="G40" s="97"/>
      <c r="H40" s="97"/>
      <c r="I40" s="97"/>
      <c r="J40" s="97"/>
      <c r="K40" s="97"/>
      <c r="L40" s="188"/>
    </row>
    <row r="41" spans="2:13" x14ac:dyDescent="0.2">
      <c r="B41" s="25" t="s">
        <v>118</v>
      </c>
      <c r="C41" s="97">
        <v>1267.4000000000001</v>
      </c>
      <c r="D41" s="97">
        <v>1250</v>
      </c>
      <c r="E41" s="97">
        <v>1472.5</v>
      </c>
      <c r="F41" s="97">
        <v>1382.8</v>
      </c>
      <c r="G41" s="97">
        <v>1339.7</v>
      </c>
      <c r="H41" s="97">
        <v>1339.7</v>
      </c>
      <c r="I41" s="97">
        <v>1339.7</v>
      </c>
      <c r="J41" s="97">
        <v>1339.7</v>
      </c>
      <c r="K41" s="97">
        <v>1339.7</v>
      </c>
      <c r="L41" s="188">
        <v>1339.7</v>
      </c>
      <c r="M41" s="18"/>
    </row>
    <row r="42" spans="2:13" x14ac:dyDescent="0.2">
      <c r="B42" s="25" t="s">
        <v>119</v>
      </c>
      <c r="C42" s="4">
        <v>34.700000000000003</v>
      </c>
      <c r="D42" s="97">
        <v>36.200000000000003</v>
      </c>
      <c r="E42" s="97">
        <v>40.799999999999997</v>
      </c>
      <c r="F42" s="97">
        <v>48.6</v>
      </c>
      <c r="G42" s="97">
        <v>36.799999999999997</v>
      </c>
      <c r="H42" s="97">
        <f>AVERAGE(C42:G42)</f>
        <v>39.42</v>
      </c>
      <c r="I42" s="97">
        <v>39.4</v>
      </c>
      <c r="J42" s="97">
        <v>39.4</v>
      </c>
      <c r="K42" s="97">
        <v>39.4</v>
      </c>
      <c r="L42" s="188">
        <v>39.4</v>
      </c>
    </row>
    <row r="43" spans="2:13" x14ac:dyDescent="0.2">
      <c r="B43" s="25" t="s">
        <v>109</v>
      </c>
      <c r="C43" s="97">
        <v>117</v>
      </c>
      <c r="D43" s="97">
        <v>114.6</v>
      </c>
      <c r="E43" s="97">
        <v>106.5</v>
      </c>
      <c r="F43" s="97">
        <v>70.900000000000006</v>
      </c>
      <c r="G43" s="97">
        <v>56.2</v>
      </c>
      <c r="H43" s="97">
        <v>56.2</v>
      </c>
      <c r="I43" s="97">
        <v>56.2</v>
      </c>
      <c r="J43" s="97">
        <v>56.2</v>
      </c>
      <c r="K43" s="97">
        <v>56.2</v>
      </c>
      <c r="L43" s="188">
        <v>56.2</v>
      </c>
    </row>
    <row r="44" spans="2:13" x14ac:dyDescent="0.2">
      <c r="B44" s="250" t="s">
        <v>120</v>
      </c>
      <c r="C44" s="251">
        <v>49.9</v>
      </c>
      <c r="D44" s="251">
        <v>125.5</v>
      </c>
      <c r="E44" s="251">
        <v>114.9</v>
      </c>
      <c r="F44" s="251">
        <v>126.7</v>
      </c>
      <c r="G44" s="251">
        <v>130.6</v>
      </c>
      <c r="H44" s="251">
        <f>AVERAGE(D44:G44)</f>
        <v>124.42500000000001</v>
      </c>
      <c r="I44" s="251">
        <v>124.4</v>
      </c>
      <c r="J44" s="251">
        <v>124.4</v>
      </c>
      <c r="K44" s="251">
        <v>124.4</v>
      </c>
      <c r="L44" s="252">
        <v>124.4</v>
      </c>
    </row>
    <row r="45" spans="2:13" x14ac:dyDescent="0.2">
      <c r="B45" s="30" t="s">
        <v>121</v>
      </c>
      <c r="C45" s="97">
        <f>SUM(C41:C44)</f>
        <v>1469.0000000000002</v>
      </c>
      <c r="D45" s="97">
        <f>SUM(D41:D44)</f>
        <v>1526.3</v>
      </c>
      <c r="E45" s="97">
        <f t="shared" ref="E45:F45" si="19">SUM(E41:E44)</f>
        <v>1734.7</v>
      </c>
      <c r="F45" s="97">
        <f t="shared" si="19"/>
        <v>1629</v>
      </c>
      <c r="G45" s="97">
        <f>SUM(G41:G44)</f>
        <v>1563.3</v>
      </c>
      <c r="H45" s="97">
        <f t="shared" ref="H45:L45" si="20">SUM(H41:H44)</f>
        <v>1559.7450000000001</v>
      </c>
      <c r="I45" s="97">
        <f t="shared" si="20"/>
        <v>1559.7000000000003</v>
      </c>
      <c r="J45" s="97">
        <f t="shared" si="20"/>
        <v>1559.7000000000003</v>
      </c>
      <c r="K45" s="97">
        <f t="shared" si="20"/>
        <v>1559.7000000000003</v>
      </c>
      <c r="L45" s="188">
        <f t="shared" si="20"/>
        <v>1559.7000000000003</v>
      </c>
    </row>
    <row r="46" spans="2:13" x14ac:dyDescent="0.2">
      <c r="B46" s="25"/>
      <c r="D46" s="97"/>
      <c r="E46" s="97"/>
      <c r="F46" s="97"/>
      <c r="G46" s="97"/>
      <c r="H46" s="97"/>
      <c r="I46" s="97"/>
      <c r="J46" s="97"/>
      <c r="K46" s="97"/>
      <c r="L46" s="188"/>
    </row>
    <row r="47" spans="2:13" x14ac:dyDescent="0.2">
      <c r="B47" s="196" t="s">
        <v>100</v>
      </c>
      <c r="C47" s="197">
        <f>C38+C45</f>
        <v>1692.4000000000003</v>
      </c>
      <c r="D47" s="197">
        <f t="shared" ref="D47:F47" si="21">D38+D45</f>
        <v>1795.1999999999998</v>
      </c>
      <c r="E47" s="197">
        <f t="shared" si="21"/>
        <v>2038.2</v>
      </c>
      <c r="F47" s="197">
        <f t="shared" si="21"/>
        <v>1991.9</v>
      </c>
      <c r="G47" s="197">
        <f>G38+G45</f>
        <v>1827.4</v>
      </c>
      <c r="H47" s="197">
        <f t="shared" ref="H47:L47" si="22">H38+H45</f>
        <v>1842.0290268773683</v>
      </c>
      <c r="I47" s="197">
        <f t="shared" si="22"/>
        <v>1806.3858122430784</v>
      </c>
      <c r="J47" s="197">
        <f t="shared" si="22"/>
        <v>1809.2120200328416</v>
      </c>
      <c r="K47" s="197">
        <f t="shared" si="22"/>
        <v>1813.4140216680776</v>
      </c>
      <c r="L47" s="198">
        <f t="shared" si="22"/>
        <v>1817.4031260963477</v>
      </c>
    </row>
    <row r="48" spans="2:13" x14ac:dyDescent="0.2">
      <c r="B48" s="25"/>
      <c r="C48" s="97"/>
      <c r="D48" s="97"/>
      <c r="E48" s="97"/>
      <c r="F48" s="97"/>
      <c r="G48" s="97"/>
      <c r="H48" s="97"/>
      <c r="I48" s="97"/>
      <c r="J48" s="97"/>
      <c r="K48" s="97"/>
      <c r="L48" s="188"/>
    </row>
    <row r="49" spans="2:12" x14ac:dyDescent="0.2">
      <c r="B49" s="76" t="s">
        <v>101</v>
      </c>
      <c r="C49" s="97"/>
      <c r="D49" s="97"/>
      <c r="E49" s="97"/>
      <c r="F49" s="97"/>
      <c r="G49" s="97"/>
      <c r="H49" s="97"/>
      <c r="I49" s="97"/>
      <c r="J49" s="97"/>
      <c r="K49" s="97"/>
      <c r="L49" s="188"/>
    </row>
    <row r="50" spans="2:12" x14ac:dyDescent="0.2">
      <c r="B50" s="25" t="s">
        <v>102</v>
      </c>
      <c r="C50" s="97">
        <v>0.4</v>
      </c>
      <c r="D50" s="97">
        <v>0.4</v>
      </c>
      <c r="E50" s="97">
        <v>0.4</v>
      </c>
      <c r="F50" s="97">
        <v>0.4</v>
      </c>
      <c r="G50" s="97">
        <v>0.4</v>
      </c>
      <c r="H50" s="97">
        <v>0.4</v>
      </c>
      <c r="I50" s="97">
        <v>0.4</v>
      </c>
      <c r="J50" s="97">
        <v>0.4</v>
      </c>
      <c r="K50" s="97">
        <v>0.4</v>
      </c>
      <c r="L50" s="188">
        <v>0.4</v>
      </c>
    </row>
    <row r="51" spans="2:12" x14ac:dyDescent="0.2">
      <c r="B51" s="25" t="s">
        <v>123</v>
      </c>
      <c r="C51" s="97">
        <v>121.3</v>
      </c>
      <c r="D51" s="97">
        <v>136.30000000000001</v>
      </c>
      <c r="E51" s="97">
        <v>153</v>
      </c>
      <c r="F51" s="97">
        <v>164.9</v>
      </c>
      <c r="G51" s="97">
        <v>176.8</v>
      </c>
      <c r="H51" s="97">
        <f>G51+$M$96</f>
        <v>190.67500000000001</v>
      </c>
      <c r="I51" s="97">
        <f t="shared" ref="I51:L51" si="23">H51+$M$96</f>
        <v>204.55</v>
      </c>
      <c r="J51" s="97">
        <f t="shared" si="23"/>
        <v>218.42500000000001</v>
      </c>
      <c r="K51" s="97">
        <f t="shared" si="23"/>
        <v>232.3</v>
      </c>
      <c r="L51" s="188">
        <f t="shared" si="23"/>
        <v>246.17500000000001</v>
      </c>
    </row>
    <row r="52" spans="2:12" x14ac:dyDescent="0.2">
      <c r="B52" s="25" t="s">
        <v>103</v>
      </c>
      <c r="C52" s="97">
        <v>678</v>
      </c>
      <c r="D52" s="97">
        <v>796.1</v>
      </c>
      <c r="E52" s="97">
        <v>1007.7</v>
      </c>
      <c r="F52" s="97">
        <v>1002.3</v>
      </c>
      <c r="G52" s="97">
        <v>572</v>
      </c>
      <c r="H52" s="97">
        <f>G52+'Income Statement'!H39</f>
        <v>680.95160012330325</v>
      </c>
      <c r="I52" s="97">
        <f>H52+'Income Statement'!I39</f>
        <v>849.63758821662509</v>
      </c>
      <c r="J52" s="97">
        <f>I52+'Income Statement'!J39</f>
        <v>1039.1352455383501</v>
      </c>
      <c r="K52" s="97">
        <f>J52+'Income Statement'!K39</f>
        <v>1248.8163831637223</v>
      </c>
      <c r="L52" s="188">
        <f>K52+'Income Statement'!L39</f>
        <v>1480.6866939095712</v>
      </c>
    </row>
    <row r="53" spans="2:12" x14ac:dyDescent="0.2">
      <c r="B53" s="25" t="s">
        <v>104</v>
      </c>
      <c r="C53" s="97">
        <v>4.7</v>
      </c>
      <c r="D53" s="97">
        <v>13.1</v>
      </c>
      <c r="E53" s="97">
        <v>-46.8</v>
      </c>
      <c r="F53" s="97">
        <v>-26.7</v>
      </c>
      <c r="G53" s="97">
        <v>-41.4</v>
      </c>
      <c r="H53" s="97">
        <v>-41.4</v>
      </c>
      <c r="I53" s="97">
        <v>-41.4</v>
      </c>
      <c r="J53" s="97">
        <v>-41.4</v>
      </c>
      <c r="K53" s="97">
        <v>-41.4</v>
      </c>
      <c r="L53" s="188">
        <v>-41.4</v>
      </c>
    </row>
    <row r="54" spans="2:12" x14ac:dyDescent="0.2">
      <c r="B54" s="25" t="s">
        <v>122</v>
      </c>
      <c r="C54" s="97">
        <v>-162.30000000000001</v>
      </c>
      <c r="D54" s="97">
        <v>-272.10000000000002</v>
      </c>
      <c r="E54" s="97">
        <v>-416</v>
      </c>
      <c r="F54" s="97">
        <v>-509.5</v>
      </c>
      <c r="G54" s="97">
        <v>-512.6</v>
      </c>
      <c r="H54" s="97">
        <v>-512.6</v>
      </c>
      <c r="I54" s="97">
        <v>-512.6</v>
      </c>
      <c r="J54" s="97">
        <v>-512.6</v>
      </c>
      <c r="K54" s="97">
        <v>-512.6</v>
      </c>
      <c r="L54" s="188">
        <v>-512.6</v>
      </c>
    </row>
    <row r="55" spans="2:12" x14ac:dyDescent="0.2">
      <c r="B55" s="196" t="s">
        <v>105</v>
      </c>
      <c r="C55" s="197">
        <f>SUM(C50:C54)</f>
        <v>642.10000000000014</v>
      </c>
      <c r="D55" s="197">
        <f>SUM(D50:D54)</f>
        <v>673.80000000000007</v>
      </c>
      <c r="E55" s="197">
        <f>SUM(E50:E54)</f>
        <v>698.30000000000018</v>
      </c>
      <c r="F55" s="197">
        <f>SUM(F50:F54)</f>
        <v>631.39999999999986</v>
      </c>
      <c r="G55" s="197">
        <f>SUM(G50:G54)</f>
        <v>195.20000000000005</v>
      </c>
      <c r="H55" s="197">
        <f t="shared" ref="H55:L55" si="24">SUM(H50:H54)</f>
        <v>318.0266001233033</v>
      </c>
      <c r="I55" s="197">
        <f t="shared" si="24"/>
        <v>500.58758821662514</v>
      </c>
      <c r="J55" s="197">
        <f t="shared" si="24"/>
        <v>703.96024553835002</v>
      </c>
      <c r="K55" s="197">
        <f t="shared" si="24"/>
        <v>927.51638316372225</v>
      </c>
      <c r="L55" s="198">
        <f t="shared" si="24"/>
        <v>1173.261693909571</v>
      </c>
    </row>
    <row r="56" spans="2:12" x14ac:dyDescent="0.2">
      <c r="B56" s="25"/>
      <c r="C56" s="97"/>
      <c r="D56" s="97"/>
      <c r="E56" s="97"/>
      <c r="F56" s="97"/>
      <c r="G56" s="97"/>
      <c r="H56" s="97"/>
      <c r="I56" s="97"/>
      <c r="J56" s="97"/>
      <c r="K56" s="97"/>
      <c r="L56" s="188"/>
    </row>
    <row r="57" spans="2:12" x14ac:dyDescent="0.2">
      <c r="B57" s="196" t="s">
        <v>106</v>
      </c>
      <c r="C57" s="197">
        <f>C47+C55</f>
        <v>2334.5000000000005</v>
      </c>
      <c r="D57" s="197">
        <f t="shared" ref="D57:F57" si="25">D47+D55</f>
        <v>2469</v>
      </c>
      <c r="E57" s="197">
        <f t="shared" si="25"/>
        <v>2736.5</v>
      </c>
      <c r="F57" s="197">
        <f t="shared" si="25"/>
        <v>2623.3</v>
      </c>
      <c r="G57" s="197">
        <f>G47+G55</f>
        <v>2022.6000000000001</v>
      </c>
      <c r="H57" s="197">
        <f t="shared" ref="H57:L57" si="26">H47+H55</f>
        <v>2160.0556270006718</v>
      </c>
      <c r="I57" s="197">
        <f t="shared" si="26"/>
        <v>2306.9734004597035</v>
      </c>
      <c r="J57" s="197">
        <f t="shared" si="26"/>
        <v>2513.1722655711915</v>
      </c>
      <c r="K57" s="197">
        <f t="shared" si="26"/>
        <v>2740.9304048317999</v>
      </c>
      <c r="L57" s="198">
        <f t="shared" si="26"/>
        <v>2990.664820005919</v>
      </c>
    </row>
    <row r="58" spans="2:12" x14ac:dyDescent="0.2">
      <c r="B58" s="25"/>
      <c r="C58" s="97"/>
      <c r="D58" s="97"/>
      <c r="E58" s="97"/>
      <c r="F58" s="97"/>
      <c r="G58" s="97"/>
      <c r="H58" s="97"/>
      <c r="I58" s="97"/>
      <c r="J58" s="97"/>
      <c r="K58" s="97"/>
      <c r="L58" s="188"/>
    </row>
    <row r="59" spans="2:12" x14ac:dyDescent="0.2">
      <c r="B59" s="25"/>
      <c r="L59" s="26"/>
    </row>
    <row r="60" spans="2:12" x14ac:dyDescent="0.2">
      <c r="B60" s="25" t="s">
        <v>127</v>
      </c>
      <c r="C60" s="8">
        <f>(C15-C11)-(C38-C36)</f>
        <v>173.60000000000005</v>
      </c>
      <c r="D60" s="8">
        <f t="shared" ref="D60:L60" si="27">(D15-D11)-(D38-D36)</f>
        <v>200.20000000000002</v>
      </c>
      <c r="E60" s="8">
        <f t="shared" si="27"/>
        <v>303.99999999999989</v>
      </c>
      <c r="F60" s="8">
        <f t="shared" si="27"/>
        <v>284.20000000000005</v>
      </c>
      <c r="G60" s="8">
        <f t="shared" si="27"/>
        <v>222.39999999999998</v>
      </c>
      <c r="H60" s="8">
        <f t="shared" si="27"/>
        <v>228.62287905088408</v>
      </c>
      <c r="I60" s="8">
        <f t="shared" si="27"/>
        <v>228.59824156460252</v>
      </c>
      <c r="J60" s="8">
        <f t="shared" si="27"/>
        <v>236.13222553138502</v>
      </c>
      <c r="K60" s="8">
        <f t="shared" si="27"/>
        <v>244.64341029791683</v>
      </c>
      <c r="L60" s="29">
        <f t="shared" si="27"/>
        <v>253.65160800608754</v>
      </c>
    </row>
    <row r="61" spans="2:12" x14ac:dyDescent="0.2">
      <c r="B61" s="25" t="s">
        <v>128</v>
      </c>
      <c r="C61" s="19"/>
      <c r="D61" s="193">
        <f>D60-C60</f>
        <v>26.599999999999966</v>
      </c>
      <c r="E61" s="193">
        <f t="shared" ref="E61:L61" si="28">E60-D60</f>
        <v>103.79999999999987</v>
      </c>
      <c r="F61" s="193">
        <f t="shared" si="28"/>
        <v>-19.799999999999841</v>
      </c>
      <c r="G61" s="193">
        <f t="shared" si="28"/>
        <v>-61.800000000000068</v>
      </c>
      <c r="H61" s="193">
        <f t="shared" si="28"/>
        <v>6.222879050884103</v>
      </c>
      <c r="I61" s="193">
        <f t="shared" si="28"/>
        <v>-2.4637486281562815E-2</v>
      </c>
      <c r="J61" s="193">
        <f t="shared" si="28"/>
        <v>7.5339839667825004</v>
      </c>
      <c r="K61" s="193">
        <f t="shared" si="28"/>
        <v>8.5111847665318123</v>
      </c>
      <c r="L61" s="194">
        <f t="shared" si="28"/>
        <v>9.0081977081707123</v>
      </c>
    </row>
    <row r="62" spans="2:12" ht="17" thickBot="1" x14ac:dyDescent="0.25">
      <c r="B62" s="34" t="s">
        <v>129</v>
      </c>
      <c r="C62" s="74"/>
      <c r="D62" s="74">
        <f>D61/D68</f>
        <v>1.9116061803808815E-2</v>
      </c>
      <c r="E62" s="74">
        <f t="shared" ref="E62:L62" si="29">E61/E68</f>
        <v>6.2219025355151877E-2</v>
      </c>
      <c r="F62" s="74">
        <f t="shared" si="29"/>
        <v>-1.1701436085337653E-2</v>
      </c>
      <c r="G62" s="74">
        <f t="shared" si="29"/>
        <v>-4.3941979522184343E-2</v>
      </c>
      <c r="H62" s="74">
        <f t="shared" si="29"/>
        <v>4.6246897005241322E-3</v>
      </c>
      <c r="I62" s="74">
        <f t="shared" si="29"/>
        <v>-1.968268236354267E-5</v>
      </c>
      <c r="J62" s="74">
        <f t="shared" si="29"/>
        <v>5.7946464413555256E-3</v>
      </c>
      <c r="K62" s="74">
        <f t="shared" si="29"/>
        <v>6.2677966125244226E-3</v>
      </c>
      <c r="L62" s="195">
        <f t="shared" si="29"/>
        <v>6.353594657641664E-3</v>
      </c>
    </row>
    <row r="64" spans="2:12" x14ac:dyDescent="0.2">
      <c r="B64" s="16"/>
      <c r="C64" s="16"/>
      <c r="D64" s="16"/>
      <c r="E64" s="16"/>
      <c r="F64" s="16"/>
      <c r="G64" s="8"/>
      <c r="H64" s="8"/>
      <c r="I64" s="8"/>
      <c r="J64" s="8"/>
      <c r="K64" s="8"/>
    </row>
    <row r="67" spans="2:12" x14ac:dyDescent="0.2">
      <c r="B67" s="199" t="s">
        <v>5</v>
      </c>
      <c r="C67" s="200">
        <v>2020</v>
      </c>
      <c r="D67" s="201">
        <v>2021</v>
      </c>
      <c r="E67" s="200">
        <v>2022</v>
      </c>
      <c r="F67" s="201">
        <v>2023</v>
      </c>
      <c r="G67" s="200">
        <v>2024</v>
      </c>
      <c r="H67" s="201">
        <v>2025</v>
      </c>
      <c r="I67" s="200">
        <v>2026</v>
      </c>
      <c r="J67" s="201">
        <v>2027</v>
      </c>
      <c r="K67" s="200">
        <v>2028</v>
      </c>
      <c r="L67" s="202">
        <v>2029</v>
      </c>
    </row>
    <row r="68" spans="2:12" x14ac:dyDescent="0.2">
      <c r="B68" s="183"/>
      <c r="C68" s="16">
        <v>1216.0999999999999</v>
      </c>
      <c r="D68" s="16">
        <v>1391.5</v>
      </c>
      <c r="E68" s="16">
        <v>1668.3</v>
      </c>
      <c r="F68" s="16">
        <v>1692.1</v>
      </c>
      <c r="G68" s="16">
        <v>1406.4</v>
      </c>
      <c r="H68" s="8">
        <v>1345.5776395503556</v>
      </c>
      <c r="I68" s="8">
        <v>1251.7341806621694</v>
      </c>
      <c r="J68" s="8">
        <v>1300.1628387564051</v>
      </c>
      <c r="K68" s="8">
        <v>1357.9229341176469</v>
      </c>
      <c r="L68" s="203">
        <v>1417.8112066586236</v>
      </c>
    </row>
    <row r="69" spans="2:12" x14ac:dyDescent="0.2">
      <c r="B69" s="183"/>
      <c r="C69" s="16"/>
      <c r="D69" s="16"/>
      <c r="E69" s="16"/>
      <c r="F69" s="16"/>
      <c r="G69" s="16"/>
      <c r="H69" s="8"/>
      <c r="I69" s="8"/>
      <c r="J69" s="8"/>
      <c r="K69" s="8"/>
      <c r="L69" s="203"/>
    </row>
    <row r="70" spans="2:12" x14ac:dyDescent="0.2">
      <c r="B70" s="204" t="s">
        <v>14</v>
      </c>
      <c r="C70" s="205">
        <v>750.6</v>
      </c>
      <c r="D70" s="205">
        <v>878.7</v>
      </c>
      <c r="E70" s="205">
        <v>1098.2</v>
      </c>
      <c r="F70" s="205">
        <v>1220.2</v>
      </c>
      <c r="G70" s="205">
        <v>951.7</v>
      </c>
      <c r="H70" s="206">
        <v>888.08124210323467</v>
      </c>
      <c r="I70" s="206">
        <v>794.85120472047754</v>
      </c>
      <c r="J70" s="206">
        <v>812.60177422275319</v>
      </c>
      <c r="K70" s="206">
        <v>835.12260448235281</v>
      </c>
      <c r="L70" s="207">
        <v>857.77578002846724</v>
      </c>
    </row>
    <row r="71" spans="2:12" x14ac:dyDescent="0.2">
      <c r="C71" s="16"/>
      <c r="D71" s="16"/>
      <c r="E71" s="16"/>
      <c r="F71" s="16"/>
      <c r="G71" s="16"/>
      <c r="H71" s="8"/>
      <c r="I71" s="8"/>
      <c r="J71" s="8"/>
      <c r="K71" s="8"/>
      <c r="L71" s="8"/>
    </row>
    <row r="72" spans="2:12" x14ac:dyDescent="0.2">
      <c r="C72" s="16"/>
      <c r="D72" s="16"/>
      <c r="E72" s="16"/>
      <c r="F72" s="16"/>
      <c r="G72" s="16"/>
      <c r="H72" s="8"/>
      <c r="I72" s="8"/>
      <c r="J72" s="8"/>
      <c r="K72" s="8"/>
      <c r="L72" s="8"/>
    </row>
    <row r="73" spans="2:12" x14ac:dyDescent="0.2">
      <c r="C73" s="16"/>
      <c r="D73" s="16"/>
      <c r="E73" s="16"/>
      <c r="F73" s="16"/>
      <c r="G73" s="16"/>
      <c r="H73" s="8"/>
      <c r="I73" s="8"/>
      <c r="J73" s="8"/>
      <c r="K73" s="8"/>
      <c r="L73" s="8"/>
    </row>
    <row r="74" spans="2:12" x14ac:dyDescent="0.2">
      <c r="H74" s="6" t="s">
        <v>152</v>
      </c>
    </row>
    <row r="75" spans="2:12" x14ac:dyDescent="0.2">
      <c r="B75" s="199" t="s">
        <v>151</v>
      </c>
      <c r="C75" s="200">
        <v>44.84</v>
      </c>
      <c r="D75" s="200">
        <v>40.619999999999997</v>
      </c>
      <c r="E75" s="200">
        <v>42.28</v>
      </c>
      <c r="F75" s="200">
        <v>43.88</v>
      </c>
      <c r="G75" s="200">
        <v>42.03</v>
      </c>
      <c r="H75" s="208">
        <f>AVERAGE(C75:G75)</f>
        <v>42.730000000000004</v>
      </c>
    </row>
    <row r="76" spans="2:12" x14ac:dyDescent="0.2">
      <c r="B76" s="209" t="s">
        <v>150</v>
      </c>
      <c r="C76" s="4">
        <v>97.89</v>
      </c>
      <c r="D76" s="4">
        <v>89.35</v>
      </c>
      <c r="E76" s="4">
        <v>95.75</v>
      </c>
      <c r="F76" s="4">
        <v>96.29</v>
      </c>
      <c r="G76" s="4">
        <v>102.99</v>
      </c>
      <c r="H76" s="210">
        <f>AVERAGE(C76:G76)</f>
        <v>96.454000000000008</v>
      </c>
    </row>
    <row r="77" spans="2:12" x14ac:dyDescent="0.2">
      <c r="B77" s="211" t="s">
        <v>153</v>
      </c>
      <c r="C77" s="212">
        <v>51.17</v>
      </c>
      <c r="D77" s="212">
        <v>45.09</v>
      </c>
      <c r="E77" s="212">
        <v>46.02</v>
      </c>
      <c r="F77" s="212">
        <v>50.93</v>
      </c>
      <c r="G77" s="212">
        <v>53.21</v>
      </c>
      <c r="H77" s="213">
        <f>AVERAGE(C77:G77)</f>
        <v>49.284000000000006</v>
      </c>
    </row>
    <row r="79" spans="2:12" x14ac:dyDescent="0.2">
      <c r="H79" s="62"/>
    </row>
    <row r="80" spans="2:12" x14ac:dyDescent="0.2">
      <c r="B80" s="214" t="s">
        <v>161</v>
      </c>
      <c r="C80" s="215">
        <v>46.6</v>
      </c>
      <c r="D80" s="215">
        <v>51.7</v>
      </c>
      <c r="E80" s="215">
        <v>54.4</v>
      </c>
      <c r="F80" s="215">
        <v>72.3</v>
      </c>
      <c r="G80" s="215">
        <v>58.1</v>
      </c>
      <c r="H80" s="216">
        <v>246.91349685749023</v>
      </c>
      <c r="I80" s="216">
        <v>176.4945194733659</v>
      </c>
      <c r="J80" s="216">
        <v>178.77239032900567</v>
      </c>
      <c r="K80" s="216">
        <v>183.31959610588234</v>
      </c>
      <c r="L80" s="217">
        <v>187.15107927893831</v>
      </c>
    </row>
    <row r="81" spans="2:13" x14ac:dyDescent="0.2">
      <c r="B81" s="183" t="s">
        <v>81</v>
      </c>
      <c r="C81" s="4">
        <v>192.3</v>
      </c>
      <c r="D81" s="4">
        <v>222.4</v>
      </c>
      <c r="E81" s="4">
        <v>247.90000000000003</v>
      </c>
      <c r="F81" s="4">
        <v>389.3</v>
      </c>
      <c r="G81" s="4">
        <v>730.4</v>
      </c>
      <c r="H81" s="8"/>
      <c r="I81" s="8"/>
      <c r="J81" s="8"/>
      <c r="K81" s="8"/>
      <c r="L81" s="203"/>
    </row>
    <row r="82" spans="2:13" x14ac:dyDescent="0.2">
      <c r="B82" s="211" t="s">
        <v>162</v>
      </c>
      <c r="C82" s="218">
        <f>C80/C81</f>
        <v>0.24232969318772751</v>
      </c>
      <c r="D82" s="206">
        <f>D80/D81</f>
        <v>0.23246402877697842</v>
      </c>
      <c r="E82" s="206">
        <f>E80/E81</f>
        <v>0.21944332392093582</v>
      </c>
      <c r="F82" s="206">
        <f>F80/F81</f>
        <v>0.18571795530439247</v>
      </c>
      <c r="G82" s="206">
        <f>G80/G81</f>
        <v>7.9545454545454544E-2</v>
      </c>
      <c r="H82" s="219">
        <f>AVERAGE(C82:G82)</f>
        <v>0.19190009114709777</v>
      </c>
      <c r="I82" s="212"/>
      <c r="J82" s="212"/>
      <c r="K82" s="212"/>
      <c r="L82" s="213"/>
    </row>
    <row r="83" spans="2:13" x14ac:dyDescent="0.2">
      <c r="H83" s="62" t="s">
        <v>160</v>
      </c>
    </row>
    <row r="85" spans="2:13" x14ac:dyDescent="0.2">
      <c r="B85" s="220" t="s">
        <v>81</v>
      </c>
      <c r="C85" s="164">
        <v>192.3</v>
      </c>
      <c r="D85" s="164">
        <v>222.4</v>
      </c>
      <c r="E85" s="164">
        <v>247.90000000000003</v>
      </c>
      <c r="F85" s="164">
        <v>389.3</v>
      </c>
      <c r="G85" s="164">
        <v>730.4</v>
      </c>
      <c r="H85" s="216">
        <v>246.91349685749023</v>
      </c>
      <c r="I85" s="216">
        <v>176.4945194733659</v>
      </c>
      <c r="J85" s="216">
        <v>178.77239032900567</v>
      </c>
      <c r="K85" s="216">
        <v>183.31959610588234</v>
      </c>
      <c r="L85" s="217">
        <v>187.15107927893831</v>
      </c>
    </row>
    <row r="86" spans="2:13" x14ac:dyDescent="0.2">
      <c r="B86" s="204" t="s">
        <v>163</v>
      </c>
      <c r="C86" s="221">
        <f>C34/C85</f>
        <v>0.13052522100884034</v>
      </c>
      <c r="D86" s="221">
        <f t="shared" ref="D86:G86" si="30">D34/D85</f>
        <v>0.21672661870503598</v>
      </c>
      <c r="E86" s="221">
        <f t="shared" si="30"/>
        <v>0.21500605082694632</v>
      </c>
      <c r="F86" s="221">
        <f t="shared" si="30"/>
        <v>5.111739018751605E-2</v>
      </c>
      <c r="G86" s="221">
        <f t="shared" si="30"/>
        <v>3.7924424972617742E-2</v>
      </c>
      <c r="H86" s="206"/>
      <c r="I86" s="212"/>
      <c r="J86" s="212"/>
      <c r="K86" s="212"/>
      <c r="L86" s="213"/>
    </row>
    <row r="89" spans="2:13" x14ac:dyDescent="0.2">
      <c r="B89" s="222" t="s">
        <v>164</v>
      </c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8" t="s">
        <v>165</v>
      </c>
    </row>
    <row r="90" spans="2:13" x14ac:dyDescent="0.2">
      <c r="B90" s="223" t="s">
        <v>113</v>
      </c>
      <c r="C90" s="224">
        <v>16.2</v>
      </c>
      <c r="D90" s="224">
        <v>17.399999999999999</v>
      </c>
      <c r="E90" s="224">
        <v>16.5</v>
      </c>
      <c r="F90" s="224">
        <v>18.7</v>
      </c>
      <c r="G90" s="224">
        <v>16.899999999999999</v>
      </c>
      <c r="H90" s="85">
        <f>H93*H92</f>
        <v>15.86</v>
      </c>
      <c r="I90" s="85">
        <f>I93*I92</f>
        <v>15.555</v>
      </c>
      <c r="J90" s="85">
        <f>J93*J92</f>
        <v>15.25</v>
      </c>
      <c r="K90" s="85">
        <f>K93*K92</f>
        <v>14.945</v>
      </c>
      <c r="L90" s="85">
        <f>L93*L92</f>
        <v>14.64</v>
      </c>
      <c r="M90" s="210"/>
    </row>
    <row r="91" spans="2:13" x14ac:dyDescent="0.2">
      <c r="B91" s="183" t="s">
        <v>119</v>
      </c>
      <c r="C91" s="4">
        <v>34.700000000000003</v>
      </c>
      <c r="D91" s="97">
        <v>36.200000000000003</v>
      </c>
      <c r="E91" s="97">
        <v>40.799999999999997</v>
      </c>
      <c r="F91" s="97">
        <v>48.6</v>
      </c>
      <c r="G91" s="97">
        <v>36.799999999999997</v>
      </c>
      <c r="M91" s="210"/>
    </row>
    <row r="92" spans="2:13" x14ac:dyDescent="0.2">
      <c r="B92" s="183" t="s">
        <v>36</v>
      </c>
      <c r="C92" s="83">
        <f>SUM(C90:C91)</f>
        <v>50.900000000000006</v>
      </c>
      <c r="D92" s="83">
        <f t="shared" ref="D92:G92" si="31">SUM(D90:D91)</f>
        <v>53.6</v>
      </c>
      <c r="E92" s="83">
        <f t="shared" si="31"/>
        <v>57.3</v>
      </c>
      <c r="F92" s="83">
        <f t="shared" si="31"/>
        <v>67.3</v>
      </c>
      <c r="G92" s="83">
        <f t="shared" si="31"/>
        <v>53.699999999999996</v>
      </c>
      <c r="H92" s="4">
        <v>52</v>
      </c>
      <c r="I92" s="4">
        <v>51</v>
      </c>
      <c r="J92" s="4">
        <v>50</v>
      </c>
      <c r="K92" s="4">
        <v>49</v>
      </c>
      <c r="L92" s="4">
        <v>48</v>
      </c>
      <c r="M92" s="210"/>
    </row>
    <row r="93" spans="2:13" x14ac:dyDescent="0.2">
      <c r="B93" s="204" t="s">
        <v>166</v>
      </c>
      <c r="C93" s="225">
        <f>C90/C92</f>
        <v>0.31827111984282902</v>
      </c>
      <c r="D93" s="225">
        <f t="shared" ref="D93:G93" si="32">D90/D92</f>
        <v>0.32462686567164173</v>
      </c>
      <c r="E93" s="225">
        <f t="shared" si="32"/>
        <v>0.2879581151832461</v>
      </c>
      <c r="F93" s="225">
        <f t="shared" si="32"/>
        <v>0.27786032689450224</v>
      </c>
      <c r="G93" s="225">
        <f t="shared" si="32"/>
        <v>0.31471135940409684</v>
      </c>
      <c r="H93" s="226">
        <v>0.30499999999999999</v>
      </c>
      <c r="I93" s="226">
        <v>0.30499999999999999</v>
      </c>
      <c r="J93" s="226">
        <v>0.30499999999999999</v>
      </c>
      <c r="K93" s="226">
        <v>0.30499999999999999</v>
      </c>
      <c r="L93" s="226">
        <v>0.30499999999999999</v>
      </c>
      <c r="M93" s="227">
        <f>AVERAGE(C93:G93)</f>
        <v>0.30468555739926317</v>
      </c>
    </row>
    <row r="95" spans="2:13" x14ac:dyDescent="0.2">
      <c r="B95" s="4" t="s">
        <v>258</v>
      </c>
      <c r="C95" s="83">
        <f>AVERAGE(D22:G22)</f>
        <v>-23.625</v>
      </c>
    </row>
    <row r="96" spans="2:13" x14ac:dyDescent="0.2">
      <c r="B96" s="4" t="s">
        <v>259</v>
      </c>
      <c r="D96" s="84">
        <f>D51-C51</f>
        <v>15.000000000000014</v>
      </c>
      <c r="E96" s="84">
        <f t="shared" ref="E96:G96" si="33">E51-D51</f>
        <v>16.699999999999989</v>
      </c>
      <c r="F96" s="84">
        <f t="shared" si="33"/>
        <v>11.900000000000006</v>
      </c>
      <c r="G96" s="84">
        <f t="shared" si="33"/>
        <v>11.900000000000006</v>
      </c>
      <c r="M96" s="84">
        <f>AVERAGE(D96:G96)</f>
        <v>13.875000000000004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C5E4-6B2A-ED47-B79E-945E906D0001}">
  <dimension ref="B3:M81"/>
  <sheetViews>
    <sheetView topLeftCell="A18" zoomScale="50" workbookViewId="0">
      <selection activeCell="H68" sqref="H68"/>
    </sheetView>
  </sheetViews>
  <sheetFormatPr baseColWidth="10" defaultColWidth="10.83203125" defaultRowHeight="16" x14ac:dyDescent="0.2"/>
  <cols>
    <col min="1" max="1" width="10.83203125" style="4"/>
    <col min="2" max="2" width="70.1640625" style="4" bestFit="1" customWidth="1"/>
    <col min="3" max="7" width="10.83203125" style="4"/>
    <col min="8" max="12" width="13.33203125" style="4" bestFit="1" customWidth="1"/>
    <col min="13" max="13" width="11.1640625" style="4" bestFit="1" customWidth="1"/>
    <col min="14" max="16384" width="10.83203125" style="4"/>
  </cols>
  <sheetData>
    <row r="3" spans="2:12" ht="29" x14ac:dyDescent="0.35">
      <c r="B3" s="38" t="s">
        <v>252</v>
      </c>
    </row>
    <row r="5" spans="2:12" ht="17" thickBot="1" x14ac:dyDescent="0.25"/>
    <row r="6" spans="2:12" ht="17" thickBot="1" x14ac:dyDescent="0.25">
      <c r="B6" s="21" t="s">
        <v>1</v>
      </c>
      <c r="C6" s="22">
        <v>2020</v>
      </c>
      <c r="D6" s="22">
        <v>2021</v>
      </c>
      <c r="E6" s="22">
        <v>2022</v>
      </c>
      <c r="F6" s="22">
        <v>2023</v>
      </c>
      <c r="G6" s="22">
        <v>2024</v>
      </c>
      <c r="H6" s="23">
        <v>2025</v>
      </c>
      <c r="I6" s="22">
        <v>2026</v>
      </c>
      <c r="J6" s="22">
        <v>2027</v>
      </c>
      <c r="K6" s="22">
        <v>2028</v>
      </c>
      <c r="L6" s="24">
        <v>2029</v>
      </c>
    </row>
    <row r="7" spans="2:12" x14ac:dyDescent="0.2">
      <c r="B7" s="21" t="s">
        <v>124</v>
      </c>
      <c r="C7" s="22"/>
      <c r="D7" s="22"/>
      <c r="E7" s="22"/>
      <c r="F7" s="22"/>
      <c r="G7" s="22"/>
      <c r="H7" s="23"/>
      <c r="I7" s="22"/>
      <c r="J7" s="22"/>
      <c r="K7" s="22"/>
      <c r="L7" s="24"/>
    </row>
    <row r="8" spans="2:12" x14ac:dyDescent="0.2">
      <c r="B8" s="94" t="s">
        <v>125</v>
      </c>
      <c r="C8" s="239">
        <v>181.4</v>
      </c>
      <c r="D8" s="239">
        <v>118.1</v>
      </c>
      <c r="E8" s="239">
        <v>211.6</v>
      </c>
      <c r="F8" s="239">
        <v>-5.4</v>
      </c>
      <c r="G8" s="239">
        <v>-430.3</v>
      </c>
      <c r="H8" s="240">
        <v>108.95160012330319</v>
      </c>
      <c r="I8" s="95">
        <v>168.68598809332184</v>
      </c>
      <c r="J8" s="95">
        <v>189.497657321725</v>
      </c>
      <c r="K8" s="95">
        <v>209.6811376253722</v>
      </c>
      <c r="L8" s="241">
        <v>231.870310745849</v>
      </c>
    </row>
    <row r="9" spans="2:12" x14ac:dyDescent="0.2">
      <c r="B9" s="25"/>
      <c r="H9" s="5"/>
      <c r="L9" s="26"/>
    </row>
    <row r="10" spans="2:12" x14ac:dyDescent="0.2">
      <c r="B10" s="27" t="s">
        <v>130</v>
      </c>
      <c r="H10" s="5"/>
      <c r="L10" s="26"/>
    </row>
    <row r="11" spans="2:12" x14ac:dyDescent="0.2">
      <c r="B11" s="28" t="s">
        <v>126</v>
      </c>
      <c r="C11" s="61">
        <v>100.2</v>
      </c>
      <c r="D11" s="61">
        <v>109.9</v>
      </c>
      <c r="E11" s="61">
        <v>108.8</v>
      </c>
      <c r="F11" s="61">
        <v>122.8</v>
      </c>
      <c r="G11" s="61">
        <v>108.3</v>
      </c>
      <c r="H11" s="14">
        <v>101.23259853121952</v>
      </c>
      <c r="I11" s="61">
        <v>94.172420865378299</v>
      </c>
      <c r="J11" s="61">
        <v>97.81588130806054</v>
      </c>
      <c r="K11" s="61">
        <v>102.16137901325686</v>
      </c>
      <c r="L11" s="189">
        <v>106.66698706787263</v>
      </c>
    </row>
    <row r="12" spans="2:12" x14ac:dyDescent="0.2">
      <c r="B12" s="28" t="s">
        <v>131</v>
      </c>
      <c r="C12" s="61">
        <v>18</v>
      </c>
      <c r="D12" s="61">
        <v>17.3</v>
      </c>
      <c r="E12" s="61">
        <v>16.100000000000001</v>
      </c>
      <c r="F12" s="61">
        <v>18.600000000000001</v>
      </c>
      <c r="G12" s="61">
        <v>19.100000000000001</v>
      </c>
      <c r="H12" s="61">
        <v>19.100000000000001</v>
      </c>
      <c r="I12" s="61">
        <v>19.100000000000001</v>
      </c>
      <c r="J12" s="61">
        <v>19.100000000000001</v>
      </c>
      <c r="K12" s="61">
        <v>19.100000000000001</v>
      </c>
      <c r="L12" s="189">
        <v>19.100000000000001</v>
      </c>
    </row>
    <row r="13" spans="2:12" x14ac:dyDescent="0.2">
      <c r="B13" s="28" t="s">
        <v>132</v>
      </c>
      <c r="C13" s="61">
        <v>16.2</v>
      </c>
      <c r="D13" s="61">
        <v>-4.5999999999999996</v>
      </c>
      <c r="E13" s="61">
        <v>-5</v>
      </c>
      <c r="F13" s="61">
        <v>-44.7</v>
      </c>
      <c r="G13" s="61">
        <v>-121.4</v>
      </c>
      <c r="H13" s="14">
        <v>0</v>
      </c>
      <c r="I13" s="61">
        <v>0</v>
      </c>
      <c r="J13" s="61">
        <v>0</v>
      </c>
      <c r="K13" s="61">
        <v>0</v>
      </c>
      <c r="L13" s="189">
        <v>0</v>
      </c>
    </row>
    <row r="14" spans="2:12" x14ac:dyDescent="0.2">
      <c r="B14" s="28" t="s">
        <v>133</v>
      </c>
      <c r="C14" s="61">
        <v>0.6</v>
      </c>
      <c r="D14" s="61">
        <v>1.2</v>
      </c>
      <c r="E14" s="61">
        <v>2.5</v>
      </c>
      <c r="F14" s="61">
        <v>4.3</v>
      </c>
      <c r="G14" s="61">
        <v>1.3</v>
      </c>
      <c r="H14" s="14">
        <v>0</v>
      </c>
      <c r="I14" s="61">
        <v>0</v>
      </c>
      <c r="J14" s="14">
        <v>0</v>
      </c>
      <c r="K14" s="61">
        <v>0</v>
      </c>
      <c r="L14" s="33">
        <v>0</v>
      </c>
    </row>
    <row r="15" spans="2:12" x14ac:dyDescent="0.2">
      <c r="B15" s="28" t="s">
        <v>134</v>
      </c>
      <c r="C15" s="61">
        <v>1.7</v>
      </c>
      <c r="D15" s="61">
        <v>0</v>
      </c>
      <c r="E15" s="61">
        <v>13.8</v>
      </c>
      <c r="F15" s="61">
        <v>170.2</v>
      </c>
      <c r="G15" s="61">
        <v>186.2</v>
      </c>
      <c r="H15" s="14">
        <v>15</v>
      </c>
      <c r="I15" s="61">
        <v>1</v>
      </c>
      <c r="J15" s="61">
        <v>1</v>
      </c>
      <c r="K15" s="61">
        <v>1</v>
      </c>
      <c r="L15" s="189">
        <v>1</v>
      </c>
    </row>
    <row r="16" spans="2:12" x14ac:dyDescent="0.2">
      <c r="B16" s="28" t="s">
        <v>135</v>
      </c>
      <c r="C16" s="61">
        <v>0</v>
      </c>
      <c r="D16" s="61">
        <v>0</v>
      </c>
      <c r="E16" s="61">
        <v>0</v>
      </c>
      <c r="F16" s="61">
        <v>22</v>
      </c>
      <c r="G16" s="61">
        <v>52.7</v>
      </c>
      <c r="H16" s="14">
        <v>0</v>
      </c>
      <c r="I16" s="61">
        <v>0</v>
      </c>
      <c r="J16" s="61">
        <v>0</v>
      </c>
      <c r="K16" s="61">
        <v>0</v>
      </c>
      <c r="L16" s="189">
        <v>0</v>
      </c>
    </row>
    <row r="17" spans="2:12" x14ac:dyDescent="0.2">
      <c r="B17" s="28" t="s">
        <v>136</v>
      </c>
      <c r="C17" s="61">
        <v>3.9</v>
      </c>
      <c r="D17" s="61">
        <v>3.5</v>
      </c>
      <c r="E17" s="61">
        <v>10</v>
      </c>
      <c r="F17" s="61">
        <v>72.900000000000006</v>
      </c>
      <c r="G17" s="61">
        <v>-18.7</v>
      </c>
      <c r="H17" s="14">
        <v>0</v>
      </c>
      <c r="I17" s="61">
        <v>0</v>
      </c>
      <c r="J17" s="14">
        <v>0</v>
      </c>
      <c r="K17" s="61">
        <v>0</v>
      </c>
      <c r="L17" s="33">
        <v>0</v>
      </c>
    </row>
    <row r="18" spans="2:12" x14ac:dyDescent="0.2">
      <c r="B18" s="28" t="s">
        <v>137</v>
      </c>
      <c r="C18" s="61">
        <v>8.4</v>
      </c>
      <c r="D18" s="61">
        <v>12.3</v>
      </c>
      <c r="E18" s="61">
        <v>16.100000000000001</v>
      </c>
      <c r="F18" s="61">
        <v>10.6</v>
      </c>
      <c r="G18" s="61">
        <v>11.9</v>
      </c>
      <c r="H18" s="14">
        <f>$M$77*H76</f>
        <v>10.797715864563736</v>
      </c>
      <c r="I18" s="14">
        <f t="shared" ref="I18:L18" si="0">$M$77*I76</f>
        <v>10.044660095027384</v>
      </c>
      <c r="J18" s="14">
        <f t="shared" si="0"/>
        <v>10.433280472204878</v>
      </c>
      <c r="K18" s="14">
        <f t="shared" si="0"/>
        <v>10.896781856063491</v>
      </c>
      <c r="L18" s="33">
        <f t="shared" si="0"/>
        <v>11.37736100029861</v>
      </c>
    </row>
    <row r="19" spans="2:12" x14ac:dyDescent="0.2">
      <c r="B19" s="28" t="s">
        <v>138</v>
      </c>
      <c r="C19" s="61">
        <v>0</v>
      </c>
      <c r="D19" s="61">
        <v>0</v>
      </c>
      <c r="E19" s="61">
        <v>0</v>
      </c>
      <c r="F19" s="61">
        <v>-19.3</v>
      </c>
      <c r="G19" s="61">
        <v>11.4</v>
      </c>
      <c r="H19" s="14">
        <v>0</v>
      </c>
      <c r="I19" s="61">
        <v>0</v>
      </c>
      <c r="J19" s="14">
        <v>0</v>
      </c>
      <c r="K19" s="61">
        <v>0</v>
      </c>
      <c r="L19" s="33">
        <v>0</v>
      </c>
    </row>
    <row r="20" spans="2:12" x14ac:dyDescent="0.2">
      <c r="B20" s="28" t="s">
        <v>139</v>
      </c>
      <c r="C20" s="61">
        <v>1.9</v>
      </c>
      <c r="D20" s="61">
        <v>1.6</v>
      </c>
      <c r="E20" s="61">
        <v>1.4</v>
      </c>
      <c r="F20" s="61">
        <v>1.6</v>
      </c>
      <c r="G20" s="61">
        <v>1.5</v>
      </c>
      <c r="H20" s="61">
        <v>1.5</v>
      </c>
      <c r="I20" s="61">
        <v>1.5</v>
      </c>
      <c r="J20" s="61">
        <v>1.5</v>
      </c>
      <c r="K20" s="61">
        <v>1.5</v>
      </c>
      <c r="L20" s="189">
        <v>1.5</v>
      </c>
    </row>
    <row r="21" spans="2:12" x14ac:dyDescent="0.2">
      <c r="B21" s="28" t="s">
        <v>9</v>
      </c>
      <c r="C21" s="61">
        <v>0</v>
      </c>
      <c r="D21" s="61">
        <v>0</v>
      </c>
      <c r="E21" s="61">
        <v>0</v>
      </c>
      <c r="F21" s="61">
        <v>0</v>
      </c>
      <c r="G21" s="61">
        <v>349.1</v>
      </c>
      <c r="H21" s="14">
        <v>0</v>
      </c>
      <c r="I21" s="61">
        <v>0</v>
      </c>
      <c r="J21" s="61">
        <v>0</v>
      </c>
      <c r="K21" s="61">
        <v>0</v>
      </c>
      <c r="L21" s="189">
        <v>0</v>
      </c>
    </row>
    <row r="22" spans="2:12" x14ac:dyDescent="0.2">
      <c r="B22" s="28" t="s">
        <v>140</v>
      </c>
      <c r="C22" s="61">
        <v>15.3</v>
      </c>
      <c r="D22" s="61">
        <v>12.1</v>
      </c>
      <c r="E22" s="61">
        <v>17</v>
      </c>
      <c r="F22" s="61">
        <v>36.200000000000003</v>
      </c>
      <c r="G22" s="61">
        <v>17</v>
      </c>
      <c r="H22" s="61">
        <v>17</v>
      </c>
      <c r="I22" s="61">
        <v>17</v>
      </c>
      <c r="J22" s="61">
        <v>17</v>
      </c>
      <c r="K22" s="61">
        <v>17</v>
      </c>
      <c r="L22" s="189">
        <v>17</v>
      </c>
    </row>
    <row r="23" spans="2:12" x14ac:dyDescent="0.2">
      <c r="B23" s="28"/>
      <c r="C23" s="61"/>
      <c r="D23" s="61"/>
      <c r="E23" s="61"/>
      <c r="F23" s="61"/>
      <c r="G23" s="61"/>
      <c r="H23" s="14"/>
      <c r="I23" s="61"/>
      <c r="J23" s="61"/>
      <c r="K23" s="61"/>
      <c r="L23" s="189"/>
    </row>
    <row r="24" spans="2:12" x14ac:dyDescent="0.2">
      <c r="B24" s="27" t="s">
        <v>141</v>
      </c>
      <c r="H24" s="5"/>
      <c r="L24" s="26"/>
    </row>
    <row r="25" spans="2:12" x14ac:dyDescent="0.2">
      <c r="B25" s="28" t="s">
        <v>142</v>
      </c>
      <c r="C25" s="61">
        <v>2.8</v>
      </c>
      <c r="D25" s="61">
        <v>-13.8</v>
      </c>
      <c r="E25" s="61">
        <v>-42.1</v>
      </c>
      <c r="F25" s="61">
        <v>42.7</v>
      </c>
      <c r="G25" s="61">
        <v>38.200000000000003</v>
      </c>
      <c r="H25" s="61">
        <f>'Balance Sheet'!H12-'Balance Sheet'!G12</f>
        <v>16.524746679415586</v>
      </c>
      <c r="I25" s="61">
        <f>'Balance Sheet'!I12-'Balance Sheet'!H12</f>
        <v>-10.986112324088197</v>
      </c>
      <c r="J25" s="61">
        <f>'Balance Sheet'!J12-'Balance Sheet'!I12</f>
        <v>5.6694700284018893</v>
      </c>
      <c r="K25" s="61">
        <f>'Balance Sheet'!K12-'Balance Sheet'!J12</f>
        <v>6.7618873281804497</v>
      </c>
      <c r="L25" s="189">
        <f>'Balance Sheet'!L12-'Balance Sheet'!K12</f>
        <v>7.0110298237696895</v>
      </c>
    </row>
    <row r="26" spans="2:12" x14ac:dyDescent="0.2">
      <c r="B26" s="28" t="s">
        <v>143</v>
      </c>
      <c r="C26" s="61">
        <v>22.3</v>
      </c>
      <c r="D26" s="61">
        <v>-55.8</v>
      </c>
      <c r="E26" s="61">
        <v>-63.7</v>
      </c>
      <c r="F26" s="61">
        <v>-75.599999999999994</v>
      </c>
      <c r="G26" s="61">
        <v>86.2</v>
      </c>
      <c r="H26" s="14">
        <f>'Balance Sheet'!H13-'Balance Sheet'!G13</f>
        <v>7.8821592488367003</v>
      </c>
      <c r="I26" s="14">
        <f>'Balance Sheet'!I13-'Balance Sheet'!H13</f>
        <v>-24.636739796483425</v>
      </c>
      <c r="J26" s="14">
        <f>'Balance Sheet'!J13-'Balance Sheet'!I13</f>
        <v>4.6907217281438136</v>
      </c>
      <c r="K26" s="14">
        <f>'Balance Sheet'!K13-'Balance Sheet'!J13</f>
        <v>5.951299073587478</v>
      </c>
      <c r="L26" s="33">
        <f>'Balance Sheet'!L13-'Balance Sheet'!K13</f>
        <v>5.9862723126709909</v>
      </c>
    </row>
    <row r="27" spans="2:12" x14ac:dyDescent="0.2">
      <c r="B27" s="28" t="s">
        <v>144</v>
      </c>
      <c r="C27" s="61">
        <v>2.1</v>
      </c>
      <c r="D27" s="61">
        <v>-5.9</v>
      </c>
      <c r="E27" s="61">
        <v>-0.8</v>
      </c>
      <c r="F27" s="61">
        <v>-28.6</v>
      </c>
      <c r="G27" s="61">
        <v>7.7</v>
      </c>
      <c r="H27" s="14">
        <f>'Balance Sheet'!H14-'Balance Sheet'!G14</f>
        <v>0</v>
      </c>
      <c r="I27" s="14">
        <f>'Balance Sheet'!I14-'Balance Sheet'!H14</f>
        <v>0</v>
      </c>
      <c r="J27" s="14">
        <f>'Balance Sheet'!J14-'Balance Sheet'!I14</f>
        <v>0</v>
      </c>
      <c r="K27" s="14">
        <f>'Balance Sheet'!K14-'Balance Sheet'!J14</f>
        <v>0</v>
      </c>
      <c r="L27" s="33">
        <f>'Balance Sheet'!L14-'Balance Sheet'!K14</f>
        <v>0</v>
      </c>
    </row>
    <row r="28" spans="2:12" x14ac:dyDescent="0.2">
      <c r="B28" s="28" t="s">
        <v>145</v>
      </c>
      <c r="C28" s="61">
        <v>-7</v>
      </c>
      <c r="D28" s="61">
        <v>-8.6</v>
      </c>
      <c r="E28" s="61">
        <v>-9.1</v>
      </c>
      <c r="F28" s="61">
        <v>-12.8</v>
      </c>
      <c r="G28" s="61">
        <v>-6.5</v>
      </c>
      <c r="H28" s="14">
        <f>AVERAGE(C28:G28)</f>
        <v>-8.8000000000000007</v>
      </c>
      <c r="I28" s="61">
        <v>-8.8000000000000007</v>
      </c>
      <c r="J28" s="61">
        <v>-8.8000000000000007</v>
      </c>
      <c r="K28" s="61">
        <v>-8.8000000000000007</v>
      </c>
      <c r="L28" s="189">
        <v>-8.8000000000000007</v>
      </c>
    </row>
    <row r="29" spans="2:12" x14ac:dyDescent="0.2">
      <c r="B29" s="28" t="s">
        <v>98</v>
      </c>
      <c r="C29" s="61">
        <v>9.4</v>
      </c>
      <c r="D29" s="61">
        <v>14.8</v>
      </c>
      <c r="E29" s="61">
        <v>42.7</v>
      </c>
      <c r="F29" s="61">
        <v>-14.6</v>
      </c>
      <c r="G29" s="61">
        <v>-63.4</v>
      </c>
      <c r="H29" s="14">
        <f>'Balance Sheet'!H32-'Balance Sheet'!G32</f>
        <v>25.412865577577591</v>
      </c>
      <c r="I29" s="14">
        <f>'Balance Sheet'!I32-'Balance Sheet'!H32</f>
        <v>-12.588353869511778</v>
      </c>
      <c r="J29" s="14">
        <f>'Balance Sheet'!J32-'Balance Sheet'!I32</f>
        <v>2.3967645680826024</v>
      </c>
      <c r="K29" s="14">
        <f>'Balance Sheet'!K32-'Balance Sheet'!J32</f>
        <v>3.0408673931893446</v>
      </c>
      <c r="L29" s="33">
        <f>'Balance Sheet'!L32-'Balance Sheet'!K32</f>
        <v>3.0587372701772608</v>
      </c>
    </row>
    <row r="30" spans="2:12" x14ac:dyDescent="0.2">
      <c r="B30" s="28" t="s">
        <v>111</v>
      </c>
      <c r="C30" s="61">
        <v>13.4</v>
      </c>
      <c r="D30" s="61">
        <v>4.8</v>
      </c>
      <c r="E30" s="61">
        <v>0.8</v>
      </c>
      <c r="F30" s="61">
        <v>-7.7</v>
      </c>
      <c r="G30" s="61">
        <v>-1</v>
      </c>
      <c r="H30" s="14">
        <f>$M$79*'Income Statement'!H14</f>
        <v>2.2069201267150702</v>
      </c>
      <c r="I30" s="14">
        <f>$M$79*'Income Statement'!I14</f>
        <v>1.9985002505591207</v>
      </c>
      <c r="J30" s="14">
        <f>$M$79*'Income Statement'!J14</f>
        <v>2.0380785336182092</v>
      </c>
      <c r="K30" s="14">
        <f>$M$79*'Income Statement'!K14</f>
        <v>2.1089112874683824</v>
      </c>
      <c r="L30" s="33">
        <f>$M$79*'Income Statement'!L14</f>
        <v>2.1607628987508556</v>
      </c>
    </row>
    <row r="31" spans="2:12" x14ac:dyDescent="0.2">
      <c r="B31" s="28" t="s">
        <v>112</v>
      </c>
      <c r="C31" s="61">
        <v>-3.3</v>
      </c>
      <c r="D31" s="61">
        <v>23.1</v>
      </c>
      <c r="E31" s="61">
        <v>5.4</v>
      </c>
      <c r="F31" s="61">
        <v>-33.5</v>
      </c>
      <c r="G31" s="61">
        <v>8</v>
      </c>
      <c r="H31" s="14">
        <f>$M$80*H76</f>
        <v>0.81122821010967439</v>
      </c>
      <c r="I31" s="14">
        <f t="shared" ref="I31:L31" si="1">$M$80*I76</f>
        <v>0.75465142186146628</v>
      </c>
      <c r="J31" s="14">
        <f t="shared" si="1"/>
        <v>0.78384832025591977</v>
      </c>
      <c r="K31" s="14">
        <f t="shared" si="1"/>
        <v>0.81867099967508883</v>
      </c>
      <c r="L31" s="33">
        <f t="shared" si="1"/>
        <v>0.85477672461580023</v>
      </c>
    </row>
    <row r="32" spans="2:12" x14ac:dyDescent="0.2">
      <c r="B32" s="28" t="s">
        <v>146</v>
      </c>
      <c r="C32" s="61">
        <v>-9.6</v>
      </c>
      <c r="D32" s="61">
        <v>-6.2</v>
      </c>
      <c r="E32" s="61">
        <v>4.9000000000000004</v>
      </c>
      <c r="F32" s="61">
        <v>6.4</v>
      </c>
      <c r="G32" s="61">
        <v>-13.8</v>
      </c>
      <c r="H32" s="14">
        <f>AVERAGE(C32:G32)</f>
        <v>-3.66</v>
      </c>
      <c r="I32" s="14">
        <v>-3.7</v>
      </c>
      <c r="J32" s="14">
        <v>-3.7</v>
      </c>
      <c r="K32" s="14">
        <v>-3.7</v>
      </c>
      <c r="L32" s="33">
        <v>-3.7</v>
      </c>
    </row>
    <row r="33" spans="2:12" x14ac:dyDescent="0.2">
      <c r="B33" s="28" t="s">
        <v>147</v>
      </c>
      <c r="C33" s="61">
        <v>-18.5</v>
      </c>
      <c r="D33" s="61">
        <v>-20.5</v>
      </c>
      <c r="E33" s="61">
        <v>-18.8</v>
      </c>
      <c r="F33" s="61">
        <v>-22.5</v>
      </c>
      <c r="G33" s="61">
        <v>-21.7</v>
      </c>
      <c r="H33" s="14">
        <f>AVERAGE(C33:G33)</f>
        <v>-20.399999999999999</v>
      </c>
      <c r="I33" s="61">
        <v>-20.399999999999999</v>
      </c>
      <c r="J33" s="61">
        <v>-20.399999999999999</v>
      </c>
      <c r="K33" s="61">
        <v>-20.399999999999999</v>
      </c>
      <c r="L33" s="189">
        <v>-20.399999999999999</v>
      </c>
    </row>
    <row r="34" spans="2:12" x14ac:dyDescent="0.2">
      <c r="B34" s="28" t="s">
        <v>148</v>
      </c>
      <c r="C34" s="61">
        <v>0</v>
      </c>
      <c r="D34" s="61">
        <v>0</v>
      </c>
      <c r="E34" s="61">
        <v>-13.8</v>
      </c>
      <c r="F34" s="61">
        <v>-44</v>
      </c>
      <c r="G34" s="61">
        <v>-59.3</v>
      </c>
      <c r="H34" s="14">
        <v>0</v>
      </c>
      <c r="I34" s="61">
        <v>0</v>
      </c>
      <c r="J34" s="14">
        <v>0</v>
      </c>
      <c r="K34" s="61">
        <v>0</v>
      </c>
      <c r="L34" s="33">
        <v>0</v>
      </c>
    </row>
    <row r="35" spans="2:12" x14ac:dyDescent="0.2">
      <c r="B35" s="28" t="s">
        <v>135</v>
      </c>
      <c r="C35" s="61">
        <v>0</v>
      </c>
      <c r="D35" s="61">
        <v>0</v>
      </c>
      <c r="E35" s="61">
        <v>0</v>
      </c>
      <c r="F35" s="61">
        <v>-10.6</v>
      </c>
      <c r="G35" s="61">
        <v>-46.1</v>
      </c>
      <c r="H35" s="14">
        <v>0</v>
      </c>
      <c r="I35" s="61">
        <v>0</v>
      </c>
      <c r="J35" s="14">
        <v>0</v>
      </c>
      <c r="K35" s="61">
        <v>0</v>
      </c>
      <c r="L35" s="33">
        <v>0</v>
      </c>
    </row>
    <row r="36" spans="2:12" x14ac:dyDescent="0.2">
      <c r="B36" s="28" t="s">
        <v>149</v>
      </c>
      <c r="C36" s="61">
        <v>-6.8</v>
      </c>
      <c r="D36" s="61">
        <v>4.7</v>
      </c>
      <c r="E36" s="61">
        <v>14.2</v>
      </c>
      <c r="F36" s="61">
        <v>16.100000000000001</v>
      </c>
      <c r="G36" s="61">
        <v>12.2</v>
      </c>
      <c r="H36" s="14">
        <f>AVERAGE(C36:G36)</f>
        <v>8.0800000000000018</v>
      </c>
      <c r="I36" s="61">
        <v>8.08</v>
      </c>
      <c r="J36" s="61">
        <v>8.08</v>
      </c>
      <c r="K36" s="61">
        <v>8.08</v>
      </c>
      <c r="L36" s="189">
        <v>8.08</v>
      </c>
    </row>
    <row r="37" spans="2:12" x14ac:dyDescent="0.2">
      <c r="B37" s="242" t="s">
        <v>205</v>
      </c>
      <c r="C37" s="243">
        <v>352.4</v>
      </c>
      <c r="D37" s="243">
        <v>293</v>
      </c>
      <c r="E37" s="243">
        <v>313.39999999999998</v>
      </c>
      <c r="F37" s="243">
        <v>205.1</v>
      </c>
      <c r="G37" s="243">
        <v>128.6</v>
      </c>
      <c r="H37" s="244">
        <f>SUM(H25:H36)</f>
        <v>28.057919842654623</v>
      </c>
      <c r="I37" s="244">
        <f t="shared" ref="I37:L37" si="2">SUM(I25:I36)</f>
        <v>-70.278054317662807</v>
      </c>
      <c r="J37" s="244">
        <f t="shared" si="2"/>
        <v>-9.241116821497565</v>
      </c>
      <c r="K37" s="244">
        <f t="shared" si="2"/>
        <v>-6.1383639178992571</v>
      </c>
      <c r="L37" s="245">
        <f t="shared" si="2"/>
        <v>-5.7484209700154043</v>
      </c>
    </row>
    <row r="38" spans="2:12" x14ac:dyDescent="0.2">
      <c r="B38" s="25"/>
      <c r="H38" s="5"/>
      <c r="L38" s="26"/>
    </row>
    <row r="39" spans="2:12" x14ac:dyDescent="0.2">
      <c r="B39" s="30" t="s">
        <v>206</v>
      </c>
      <c r="H39" s="5"/>
      <c r="L39" s="26"/>
    </row>
    <row r="40" spans="2:12" x14ac:dyDescent="0.2">
      <c r="B40" s="25" t="s">
        <v>207</v>
      </c>
      <c r="C40" s="61">
        <v>82.1</v>
      </c>
      <c r="D40" s="61">
        <v>103.8</v>
      </c>
      <c r="E40" s="61">
        <v>142.5</v>
      </c>
      <c r="F40" s="61">
        <v>109.8</v>
      </c>
      <c r="G40" s="61">
        <v>77.599999999999994</v>
      </c>
      <c r="H40" s="14">
        <f>H41*H76</f>
        <v>67.278881977517784</v>
      </c>
      <c r="I40" s="61">
        <f>I41*I76</f>
        <v>62.58670903310847</v>
      </c>
      <c r="J40" s="61">
        <f>J41*J76</f>
        <v>65.008141937820255</v>
      </c>
      <c r="K40" s="61">
        <f>K41*K76</f>
        <v>67.896146705882344</v>
      </c>
      <c r="L40" s="189">
        <f>L41*L76</f>
        <v>70.890560332931187</v>
      </c>
    </row>
    <row r="41" spans="2:12" x14ac:dyDescent="0.2">
      <c r="B41" s="31" t="s">
        <v>227</v>
      </c>
      <c r="C41" s="19">
        <f>C40/C76</f>
        <v>6.7510895485568628E-2</v>
      </c>
      <c r="D41" s="19">
        <f>D40/D76</f>
        <v>7.4595759971254047E-2</v>
      </c>
      <c r="E41" s="19">
        <f>E40/E76</f>
        <v>8.5416292033806865E-2</v>
      </c>
      <c r="F41" s="19">
        <f>F40/F76</f>
        <v>6.4889781927782053E-2</v>
      </c>
      <c r="G41" s="19">
        <f>G40/G76</f>
        <v>5.5176336746302609E-2</v>
      </c>
      <c r="H41" s="12">
        <v>0.05</v>
      </c>
      <c r="I41" s="13">
        <v>0.05</v>
      </c>
      <c r="J41" s="13">
        <v>0.05</v>
      </c>
      <c r="K41" s="13">
        <v>0.05</v>
      </c>
      <c r="L41" s="32">
        <v>0.05</v>
      </c>
    </row>
    <row r="42" spans="2:12" x14ac:dyDescent="0.2">
      <c r="B42" s="25" t="s">
        <v>208</v>
      </c>
      <c r="C42" s="61">
        <v>-23.8</v>
      </c>
      <c r="D42" s="61">
        <v>0</v>
      </c>
      <c r="E42" s="61">
        <v>-344.5</v>
      </c>
      <c r="F42" s="61">
        <v>0</v>
      </c>
      <c r="G42" s="61">
        <v>0</v>
      </c>
      <c r="H42" s="14">
        <v>0</v>
      </c>
      <c r="I42" s="61">
        <v>0</v>
      </c>
      <c r="J42" s="14">
        <v>0</v>
      </c>
      <c r="K42" s="61">
        <v>0</v>
      </c>
      <c r="L42" s="33">
        <v>0</v>
      </c>
    </row>
    <row r="43" spans="2:12" x14ac:dyDescent="0.2">
      <c r="B43" s="25" t="s">
        <v>209</v>
      </c>
      <c r="C43" s="61">
        <v>0</v>
      </c>
      <c r="D43" s="61">
        <v>0</v>
      </c>
      <c r="E43" s="61">
        <v>0</v>
      </c>
      <c r="F43" s="61">
        <v>31.5</v>
      </c>
      <c r="G43" s="61">
        <v>0</v>
      </c>
      <c r="H43" s="14">
        <v>0</v>
      </c>
      <c r="I43" s="61">
        <v>0</v>
      </c>
      <c r="J43" s="14">
        <v>0</v>
      </c>
      <c r="K43" s="61">
        <v>0</v>
      </c>
      <c r="L43" s="33">
        <v>0</v>
      </c>
    </row>
    <row r="44" spans="2:12" x14ac:dyDescent="0.2">
      <c r="B44" s="25" t="s">
        <v>210</v>
      </c>
      <c r="C44" s="61">
        <v>0</v>
      </c>
      <c r="D44" s="61">
        <v>0</v>
      </c>
      <c r="E44" s="61">
        <v>14.7</v>
      </c>
      <c r="F44" s="61">
        <v>0</v>
      </c>
      <c r="G44" s="61">
        <v>0</v>
      </c>
      <c r="H44" s="14">
        <v>0</v>
      </c>
      <c r="I44" s="61">
        <v>0</v>
      </c>
      <c r="J44" s="14">
        <v>0</v>
      </c>
      <c r="K44" s="61">
        <v>0</v>
      </c>
      <c r="L44" s="33">
        <v>0</v>
      </c>
    </row>
    <row r="45" spans="2:12" x14ac:dyDescent="0.2">
      <c r="B45" s="25" t="s">
        <v>211</v>
      </c>
      <c r="C45" s="61">
        <v>0</v>
      </c>
      <c r="D45" s="61">
        <v>-35.299999999999997</v>
      </c>
      <c r="E45" s="61">
        <v>-77.400000000000006</v>
      </c>
      <c r="F45" s="61">
        <v>-2.4</v>
      </c>
      <c r="G45" s="61">
        <v>-0.3</v>
      </c>
      <c r="H45" s="14">
        <v>0</v>
      </c>
      <c r="I45" s="61">
        <v>0</v>
      </c>
      <c r="J45" s="14">
        <v>0</v>
      </c>
      <c r="K45" s="61">
        <v>0</v>
      </c>
      <c r="L45" s="33">
        <v>0</v>
      </c>
    </row>
    <row r="46" spans="2:12" x14ac:dyDescent="0.2">
      <c r="B46" s="25" t="s">
        <v>212</v>
      </c>
      <c r="C46" s="61">
        <v>-4.7</v>
      </c>
      <c r="D46" s="61">
        <v>-1.5</v>
      </c>
      <c r="E46" s="61">
        <v>-2.2000000000000002</v>
      </c>
      <c r="F46" s="61">
        <v>3.4</v>
      </c>
      <c r="G46" s="61">
        <v>-1.6</v>
      </c>
      <c r="H46" s="14">
        <f>(E46+F46+G46)/3</f>
        <v>-0.13333333333333344</v>
      </c>
      <c r="I46" s="14">
        <v>-0.13</v>
      </c>
      <c r="J46" s="14">
        <v>-0.13</v>
      </c>
      <c r="K46" s="14">
        <v>-0.13</v>
      </c>
      <c r="L46" s="33">
        <v>-0.13</v>
      </c>
    </row>
    <row r="47" spans="2:12" x14ac:dyDescent="0.2">
      <c r="B47" s="94" t="s">
        <v>213</v>
      </c>
      <c r="C47" s="243">
        <v>-110.6</v>
      </c>
      <c r="D47" s="243">
        <v>-140.6</v>
      </c>
      <c r="E47" s="243">
        <v>313.39999999999998</v>
      </c>
      <c r="F47" s="243">
        <v>205.1</v>
      </c>
      <c r="G47" s="243">
        <v>128.6</v>
      </c>
      <c r="H47" s="244">
        <f>H40+H46</f>
        <v>67.145548644184444</v>
      </c>
      <c r="I47" s="244">
        <f t="shared" ref="I47:L47" si="3">I40+I46</f>
        <v>62.456709033108467</v>
      </c>
      <c r="J47" s="244">
        <f t="shared" si="3"/>
        <v>64.87814193782026</v>
      </c>
      <c r="K47" s="244">
        <f t="shared" si="3"/>
        <v>67.766146705882349</v>
      </c>
      <c r="L47" s="245">
        <f t="shared" si="3"/>
        <v>70.760560332931192</v>
      </c>
    </row>
    <row r="48" spans="2:12" x14ac:dyDescent="0.2">
      <c r="B48" s="25"/>
      <c r="H48" s="5"/>
      <c r="L48" s="26"/>
    </row>
    <row r="49" spans="2:12" x14ac:dyDescent="0.2">
      <c r="B49" s="30" t="s">
        <v>214</v>
      </c>
      <c r="C49" s="61"/>
      <c r="D49" s="61"/>
      <c r="E49" s="61"/>
      <c r="F49" s="61"/>
      <c r="G49" s="61"/>
      <c r="H49" s="14"/>
      <c r="I49" s="61"/>
      <c r="J49" s="61"/>
      <c r="K49" s="61"/>
      <c r="L49" s="189"/>
    </row>
    <row r="50" spans="2:12" x14ac:dyDescent="0.2">
      <c r="B50" s="25" t="s">
        <v>215</v>
      </c>
      <c r="C50" s="61">
        <v>346.1</v>
      </c>
      <c r="D50" s="61">
        <v>0</v>
      </c>
      <c r="E50" s="61">
        <v>1164.7</v>
      </c>
      <c r="F50" s="61">
        <v>376.3</v>
      </c>
      <c r="G50" s="61">
        <v>404.5</v>
      </c>
      <c r="H50" s="14">
        <v>0</v>
      </c>
      <c r="I50" s="61">
        <v>0</v>
      </c>
      <c r="J50" s="14">
        <v>0</v>
      </c>
      <c r="K50" s="61">
        <v>0</v>
      </c>
      <c r="L50" s="33">
        <v>0</v>
      </c>
    </row>
    <row r="51" spans="2:12" x14ac:dyDescent="0.2">
      <c r="B51" s="25" t="s">
        <v>242</v>
      </c>
      <c r="C51" s="61">
        <v>0</v>
      </c>
      <c r="D51" s="61">
        <v>0</v>
      </c>
      <c r="E51" s="61">
        <v>-336.7</v>
      </c>
      <c r="F51" s="61">
        <v>-382.9</v>
      </c>
      <c r="G51" s="61">
        <v>-470.6</v>
      </c>
      <c r="H51" s="14">
        <v>0</v>
      </c>
      <c r="I51" s="61">
        <v>0</v>
      </c>
      <c r="J51" s="14">
        <v>0</v>
      </c>
      <c r="K51" s="61">
        <v>0</v>
      </c>
      <c r="L51" s="33">
        <v>0</v>
      </c>
    </row>
    <row r="52" spans="2:12" x14ac:dyDescent="0.2">
      <c r="B52" s="25" t="s">
        <v>243</v>
      </c>
      <c r="C52" s="61">
        <v>0</v>
      </c>
      <c r="D52" s="61">
        <v>0</v>
      </c>
      <c r="E52" s="61">
        <v>-628.1</v>
      </c>
      <c r="F52" s="61">
        <v>0</v>
      </c>
      <c r="G52" s="61">
        <v>0</v>
      </c>
      <c r="H52" s="14">
        <v>0</v>
      </c>
      <c r="I52" s="61">
        <v>0</v>
      </c>
      <c r="J52" s="61">
        <v>0</v>
      </c>
      <c r="K52" s="61">
        <v>0</v>
      </c>
      <c r="L52" s="189">
        <v>0</v>
      </c>
    </row>
    <row r="53" spans="2:12" x14ac:dyDescent="0.2">
      <c r="B53" s="25" t="s">
        <v>245</v>
      </c>
      <c r="C53" s="61">
        <v>346.1</v>
      </c>
      <c r="D53" s="61">
        <v>0</v>
      </c>
      <c r="E53" s="61">
        <v>0</v>
      </c>
      <c r="F53" s="61">
        <v>0</v>
      </c>
      <c r="G53" s="61">
        <v>0</v>
      </c>
      <c r="H53" s="14">
        <v>0</v>
      </c>
      <c r="I53" s="61">
        <v>0</v>
      </c>
      <c r="J53" s="61">
        <v>0</v>
      </c>
      <c r="K53" s="61">
        <v>0</v>
      </c>
      <c r="L53" s="189">
        <v>0</v>
      </c>
    </row>
    <row r="54" spans="2:12" x14ac:dyDescent="0.2">
      <c r="B54" s="25" t="s">
        <v>246</v>
      </c>
      <c r="C54" s="61">
        <v>550</v>
      </c>
      <c r="D54" s="61">
        <v>0</v>
      </c>
      <c r="E54" s="61">
        <v>0</v>
      </c>
      <c r="F54" s="61">
        <v>0</v>
      </c>
      <c r="G54" s="61">
        <v>0</v>
      </c>
      <c r="H54" s="14">
        <v>0</v>
      </c>
      <c r="I54" s="61">
        <v>0</v>
      </c>
      <c r="J54" s="61">
        <v>0</v>
      </c>
      <c r="K54" s="61">
        <v>0</v>
      </c>
      <c r="L54" s="189">
        <v>0</v>
      </c>
    </row>
    <row r="55" spans="2:12" x14ac:dyDescent="0.2">
      <c r="B55" s="25" t="s">
        <v>243</v>
      </c>
      <c r="C55" s="61">
        <v>-389.1</v>
      </c>
      <c r="D55" s="61">
        <v>-23.4</v>
      </c>
      <c r="E55" s="61">
        <v>0</v>
      </c>
      <c r="F55" s="61">
        <v>0</v>
      </c>
      <c r="G55" s="61">
        <v>0</v>
      </c>
      <c r="H55" s="14">
        <v>0</v>
      </c>
      <c r="I55" s="61">
        <v>0</v>
      </c>
      <c r="J55" s="61">
        <v>0</v>
      </c>
      <c r="K55" s="61">
        <v>0</v>
      </c>
      <c r="L55" s="189">
        <v>0</v>
      </c>
    </row>
    <row r="56" spans="2:12" x14ac:dyDescent="0.2">
      <c r="B56" s="25" t="s">
        <v>216</v>
      </c>
      <c r="C56" s="61">
        <v>-11</v>
      </c>
      <c r="D56" s="61">
        <v>0</v>
      </c>
      <c r="E56" s="61">
        <v>-3</v>
      </c>
      <c r="F56" s="61">
        <v>-0.4</v>
      </c>
      <c r="G56" s="61">
        <v>0</v>
      </c>
      <c r="H56" s="14">
        <v>0</v>
      </c>
      <c r="I56" s="61">
        <v>0</v>
      </c>
      <c r="J56" s="14">
        <v>0</v>
      </c>
      <c r="K56" s="61">
        <v>0</v>
      </c>
      <c r="L56" s="33">
        <v>0</v>
      </c>
    </row>
    <row r="57" spans="2:12" x14ac:dyDescent="0.2">
      <c r="B57" s="25" t="s">
        <v>217</v>
      </c>
      <c r="C57" s="61">
        <v>0</v>
      </c>
      <c r="D57" s="61">
        <v>0</v>
      </c>
      <c r="E57" s="61">
        <v>-3.8</v>
      </c>
      <c r="F57" s="61">
        <v>0</v>
      </c>
      <c r="G57" s="61">
        <v>0</v>
      </c>
      <c r="H57" s="14">
        <v>0</v>
      </c>
      <c r="I57" s="61">
        <v>0</v>
      </c>
      <c r="J57" s="14">
        <v>0</v>
      </c>
      <c r="K57" s="61">
        <v>0</v>
      </c>
      <c r="L57" s="33">
        <v>0</v>
      </c>
    </row>
    <row r="58" spans="2:12" x14ac:dyDescent="0.2">
      <c r="B58" s="25" t="s">
        <v>218</v>
      </c>
      <c r="C58" s="61">
        <v>23.1</v>
      </c>
      <c r="D58" s="61">
        <v>-0.7</v>
      </c>
      <c r="E58" s="61">
        <v>-0.9</v>
      </c>
      <c r="F58" s="61">
        <v>-0.7</v>
      </c>
      <c r="G58" s="61">
        <v>-1</v>
      </c>
      <c r="H58" s="14">
        <f>AVERAGE($E$58:$G$58)</f>
        <v>-0.8666666666666667</v>
      </c>
      <c r="I58" s="14">
        <f t="shared" ref="I58:L58" si="4">AVERAGE($E$58:$G$58)</f>
        <v>-0.8666666666666667</v>
      </c>
      <c r="J58" s="14">
        <f t="shared" si="4"/>
        <v>-0.8666666666666667</v>
      </c>
      <c r="K58" s="14">
        <f t="shared" si="4"/>
        <v>-0.8666666666666667</v>
      </c>
      <c r="L58" s="33">
        <f t="shared" si="4"/>
        <v>-0.8666666666666667</v>
      </c>
    </row>
    <row r="59" spans="2:12" x14ac:dyDescent="0.2">
      <c r="B59" s="25" t="s">
        <v>219</v>
      </c>
      <c r="C59" s="61">
        <v>-3.2</v>
      </c>
      <c r="D59" s="61">
        <v>-2.4</v>
      </c>
      <c r="E59" s="61">
        <v>-2.2000000000000002</v>
      </c>
      <c r="F59" s="61">
        <v>-4.8</v>
      </c>
      <c r="G59" s="61">
        <v>-3.1</v>
      </c>
      <c r="H59" s="14">
        <f>AVERAGE($C$59:$G$59)</f>
        <v>-3.1399999999999997</v>
      </c>
      <c r="I59" s="14">
        <f t="shared" ref="I59:L59" si="5">AVERAGE($C$59:$G$59)</f>
        <v>-3.1399999999999997</v>
      </c>
      <c r="J59" s="14">
        <f t="shared" si="5"/>
        <v>-3.1399999999999997</v>
      </c>
      <c r="K59" s="14">
        <f t="shared" si="5"/>
        <v>-3.1399999999999997</v>
      </c>
      <c r="L59" s="33">
        <f t="shared" si="5"/>
        <v>-3.1399999999999997</v>
      </c>
    </row>
    <row r="60" spans="2:12" x14ac:dyDescent="0.2">
      <c r="B60" s="25" t="s">
        <v>220</v>
      </c>
      <c r="C60" s="61">
        <v>3.6</v>
      </c>
      <c r="D60" s="61">
        <v>4.7</v>
      </c>
      <c r="E60" s="61">
        <v>4.0999999999999996</v>
      </c>
      <c r="F60" s="61">
        <v>4.7</v>
      </c>
      <c r="G60" s="61">
        <v>0</v>
      </c>
      <c r="H60" s="14">
        <f>AVERAGE($D$60:$F$60)</f>
        <v>4.5</v>
      </c>
      <c r="I60" s="14">
        <f t="shared" ref="I60:L60" si="6">AVERAGE($D$60:$F$60)</f>
        <v>4.5</v>
      </c>
      <c r="J60" s="14">
        <f t="shared" si="6"/>
        <v>4.5</v>
      </c>
      <c r="K60" s="14">
        <f t="shared" si="6"/>
        <v>4.5</v>
      </c>
      <c r="L60" s="33">
        <f t="shared" si="6"/>
        <v>4.5</v>
      </c>
    </row>
    <row r="61" spans="2:12" x14ac:dyDescent="0.2">
      <c r="B61" s="25" t="s">
        <v>221</v>
      </c>
      <c r="C61" s="61">
        <v>-88</v>
      </c>
      <c r="D61" s="61">
        <v>-109.4</v>
      </c>
      <c r="E61" s="61">
        <v>-145.19999999999999</v>
      </c>
      <c r="F61" s="61">
        <v>-92.1</v>
      </c>
      <c r="G61" s="61">
        <v>0</v>
      </c>
      <c r="H61" s="14">
        <v>0</v>
      </c>
      <c r="I61" s="61">
        <v>0</v>
      </c>
      <c r="J61" s="61">
        <v>0</v>
      </c>
      <c r="K61" s="61">
        <v>0</v>
      </c>
      <c r="L61" s="189">
        <v>0</v>
      </c>
    </row>
    <row r="62" spans="2:12" x14ac:dyDescent="0.2">
      <c r="B62" s="25" t="s">
        <v>222</v>
      </c>
      <c r="C62" s="61">
        <v>0</v>
      </c>
      <c r="D62" s="61">
        <v>0</v>
      </c>
      <c r="E62" s="61">
        <v>0.8</v>
      </c>
      <c r="F62" s="61">
        <v>0</v>
      </c>
      <c r="G62" s="61">
        <v>0</v>
      </c>
      <c r="H62" s="14">
        <v>0</v>
      </c>
      <c r="I62" s="61">
        <v>0</v>
      </c>
      <c r="J62" s="61">
        <v>0</v>
      </c>
      <c r="K62" s="61">
        <v>0</v>
      </c>
      <c r="L62" s="189">
        <v>0</v>
      </c>
    </row>
    <row r="63" spans="2:12" x14ac:dyDescent="0.2">
      <c r="B63" s="25" t="s">
        <v>223</v>
      </c>
      <c r="C63" s="61">
        <v>-50.2</v>
      </c>
      <c r="D63" s="61">
        <v>-133.1</v>
      </c>
      <c r="E63" s="61">
        <v>48.1</v>
      </c>
      <c r="F63" s="61">
        <v>-99.9</v>
      </c>
      <c r="G63" s="61">
        <v>-70.2</v>
      </c>
      <c r="H63" s="14">
        <f>SUM(H50:H62)</f>
        <v>0.49333333333333407</v>
      </c>
      <c r="I63" s="14">
        <f t="shared" ref="I63:L63" si="7">SUM(I50:I62)</f>
        <v>0.49333333333333407</v>
      </c>
      <c r="J63" s="14">
        <f t="shared" si="7"/>
        <v>0.49333333333333407</v>
      </c>
      <c r="K63" s="14">
        <f t="shared" si="7"/>
        <v>0.49333333333333407</v>
      </c>
      <c r="L63" s="33">
        <f t="shared" si="7"/>
        <v>0.49333333333333407</v>
      </c>
    </row>
    <row r="64" spans="2:12" x14ac:dyDescent="0.2">
      <c r="B64" s="25" t="s">
        <v>224</v>
      </c>
      <c r="C64" s="61">
        <v>191.6</v>
      </c>
      <c r="D64" s="61">
        <v>19.3</v>
      </c>
      <c r="E64" s="61">
        <v>-190.4</v>
      </c>
      <c r="F64" s="61">
        <v>27.9</v>
      </c>
      <c r="G64" s="61">
        <v>-21.1</v>
      </c>
      <c r="H64" s="14">
        <f>H37+H47+H63</f>
        <v>95.696801820172411</v>
      </c>
      <c r="I64" s="14">
        <f>I37+I47+I63</f>
        <v>-7.328011951221006</v>
      </c>
      <c r="J64" s="14">
        <f>J37+J47+J63</f>
        <v>56.130358449656029</v>
      </c>
      <c r="K64" s="14">
        <f>K37+K47+K63</f>
        <v>62.121116121316426</v>
      </c>
      <c r="L64" s="33">
        <f>L37+L47+L63</f>
        <v>65.505472696249129</v>
      </c>
    </row>
    <row r="65" spans="2:13" x14ac:dyDescent="0.2">
      <c r="B65" s="25" t="s">
        <v>225</v>
      </c>
      <c r="C65" s="61">
        <v>2.2000000000000002</v>
      </c>
      <c r="D65" s="61">
        <v>-1.7</v>
      </c>
      <c r="E65" s="61">
        <v>-6</v>
      </c>
      <c r="F65" s="61">
        <v>-0.3</v>
      </c>
      <c r="G65" s="61">
        <v>-4.2</v>
      </c>
      <c r="H65" s="14">
        <v>0</v>
      </c>
      <c r="I65" s="61">
        <v>0</v>
      </c>
      <c r="J65" s="61">
        <v>0</v>
      </c>
      <c r="K65" s="61">
        <v>0</v>
      </c>
      <c r="L65" s="189">
        <v>0</v>
      </c>
    </row>
    <row r="66" spans="2:13" x14ac:dyDescent="0.2">
      <c r="B66" s="25" t="s">
        <v>247</v>
      </c>
      <c r="C66" s="61">
        <v>191.6</v>
      </c>
      <c r="D66" s="61">
        <v>19.3</v>
      </c>
      <c r="E66" s="61">
        <v>-196.4</v>
      </c>
      <c r="F66" s="61">
        <v>27.6</v>
      </c>
      <c r="G66" s="61">
        <v>-25.3</v>
      </c>
      <c r="H66" s="14">
        <f>H64+H65</f>
        <v>95.696801820172411</v>
      </c>
      <c r="I66" s="14">
        <f t="shared" ref="I66:L66" si="8">I64+I65</f>
        <v>-7.328011951221006</v>
      </c>
      <c r="J66" s="14">
        <f t="shared" si="8"/>
        <v>56.130358449656029</v>
      </c>
      <c r="K66" s="14">
        <f t="shared" si="8"/>
        <v>62.121116121316426</v>
      </c>
      <c r="L66" s="33">
        <f t="shared" si="8"/>
        <v>65.505472696249129</v>
      </c>
    </row>
    <row r="67" spans="2:13" x14ac:dyDescent="0.2">
      <c r="B67" s="25" t="s">
        <v>226</v>
      </c>
      <c r="C67" s="61">
        <v>64.599999999999994</v>
      </c>
      <c r="D67" s="61">
        <v>258.39999999999998</v>
      </c>
      <c r="E67" s="61">
        <v>280.7</v>
      </c>
      <c r="F67" s="61">
        <v>84.3</v>
      </c>
      <c r="G67" s="61">
        <v>111.9</v>
      </c>
      <c r="H67" s="14">
        <f>G68</f>
        <v>86.6</v>
      </c>
      <c r="I67" s="61">
        <f>H68</f>
        <v>182.29680182017239</v>
      </c>
      <c r="J67" s="61">
        <f>I68</f>
        <v>174.96878986895138</v>
      </c>
      <c r="K67" s="61">
        <f>J68</f>
        <v>231.0991483186074</v>
      </c>
      <c r="L67" s="189">
        <f>K68</f>
        <v>293.22026443992382</v>
      </c>
    </row>
    <row r="68" spans="2:13" ht="17" thickBot="1" x14ac:dyDescent="0.25">
      <c r="B68" s="34" t="s">
        <v>244</v>
      </c>
      <c r="C68" s="246">
        <v>258.39999999999998</v>
      </c>
      <c r="D68" s="246">
        <v>276</v>
      </c>
      <c r="E68" s="246">
        <v>84.3</v>
      </c>
      <c r="F68" s="246">
        <v>111.9</v>
      </c>
      <c r="G68" s="246">
        <v>86.6</v>
      </c>
      <c r="H68" s="246">
        <f>H66+H67</f>
        <v>182.29680182017239</v>
      </c>
      <c r="I68" s="246">
        <f>I66+I67</f>
        <v>174.96878986895138</v>
      </c>
      <c r="J68" s="246">
        <f>J66+J67</f>
        <v>231.0991483186074</v>
      </c>
      <c r="K68" s="246">
        <f>K67+K66</f>
        <v>293.22026443992382</v>
      </c>
      <c r="L68" s="247">
        <f>L66+L67</f>
        <v>358.72573713617294</v>
      </c>
    </row>
    <row r="75" spans="2:13" ht="17" thickBot="1" x14ac:dyDescent="0.25">
      <c r="M75" s="4" t="s">
        <v>249</v>
      </c>
    </row>
    <row r="76" spans="2:13" x14ac:dyDescent="0.2">
      <c r="B76" s="40" t="s">
        <v>5</v>
      </c>
      <c r="C76" s="52">
        <v>1216.0999999999999</v>
      </c>
      <c r="D76" s="52">
        <v>1391.5</v>
      </c>
      <c r="E76" s="52">
        <v>1668.3</v>
      </c>
      <c r="F76" s="52">
        <v>1692.1</v>
      </c>
      <c r="G76" s="52">
        <v>1406.4</v>
      </c>
      <c r="H76" s="53">
        <v>1345.5776395503556</v>
      </c>
      <c r="I76" s="53">
        <v>1251.7341806621694</v>
      </c>
      <c r="J76" s="53">
        <v>1300.1628387564051</v>
      </c>
      <c r="K76" s="53">
        <v>1357.9229341176469</v>
      </c>
      <c r="L76" s="53">
        <v>1417.8112066586236</v>
      </c>
      <c r="M76" s="24"/>
    </row>
    <row r="77" spans="2:13" x14ac:dyDescent="0.2">
      <c r="B77" s="25" t="s">
        <v>248</v>
      </c>
      <c r="C77" s="19">
        <f>C18/C76</f>
        <v>6.9073267001068996E-3</v>
      </c>
      <c r="D77" s="19">
        <f>D18/D76</f>
        <v>8.8393819619116062E-3</v>
      </c>
      <c r="E77" s="19">
        <f>E18/E76</f>
        <v>9.6505424683809883E-3</v>
      </c>
      <c r="F77" s="19">
        <f>F18/F76</f>
        <v>6.2644051769989951E-3</v>
      </c>
      <c r="G77" s="19">
        <f>G18/G76</f>
        <v>8.4613196814562006E-3</v>
      </c>
      <c r="M77" s="54">
        <f>AVERAGE(C77:G77)</f>
        <v>8.0245951977709375E-3</v>
      </c>
    </row>
    <row r="78" spans="2:13" x14ac:dyDescent="0.2">
      <c r="B78" s="43" t="s">
        <v>14</v>
      </c>
      <c r="C78" s="15">
        <v>750.6</v>
      </c>
      <c r="D78" s="15">
        <v>878.7</v>
      </c>
      <c r="E78" s="17">
        <v>1098.2</v>
      </c>
      <c r="F78" s="17">
        <v>1220.2</v>
      </c>
      <c r="G78" s="15">
        <v>951.7</v>
      </c>
      <c r="H78" s="8">
        <v>888.08124210323467</v>
      </c>
      <c r="I78" s="8">
        <v>794.85120472047754</v>
      </c>
      <c r="J78" s="8">
        <v>812.60177422275319</v>
      </c>
      <c r="K78" s="8">
        <v>835.12260448235281</v>
      </c>
      <c r="L78" s="8">
        <v>857.77578002846724</v>
      </c>
      <c r="M78" s="26"/>
    </row>
    <row r="79" spans="2:13" x14ac:dyDescent="0.2">
      <c r="B79" s="25" t="s">
        <v>250</v>
      </c>
      <c r="C79" s="55">
        <f>C30/'Income Statement'!C14</f>
        <v>8.9692101740294516E-2</v>
      </c>
      <c r="D79" s="55">
        <f>D30/'Income Statement'!D14</f>
        <v>2.6770775237032904E-2</v>
      </c>
      <c r="E79" s="55">
        <f>E30/'Income Statement'!E14</f>
        <v>4.0241448692152921E-3</v>
      </c>
      <c r="F79" s="55">
        <f>F30/'Income Statement'!F14</f>
        <v>-4.1916167664670663E-2</v>
      </c>
      <c r="G79" s="55">
        <f>G30/'Income Statement'!G14</f>
        <v>-5.99880023995201E-3</v>
      </c>
      <c r="M79" s="56">
        <f>AVERAGE(C79:G79)</f>
        <v>1.4514410788384006E-2</v>
      </c>
    </row>
    <row r="80" spans="2:13" x14ac:dyDescent="0.2">
      <c r="B80" s="25" t="s">
        <v>251</v>
      </c>
      <c r="C80" s="57">
        <f>C31/C76</f>
        <v>-2.7135926321848534E-3</v>
      </c>
      <c r="D80" s="57">
        <f>D31/D76</f>
        <v>1.6600790513833993E-2</v>
      </c>
      <c r="E80" s="57">
        <f>E31/E76</f>
        <v>3.236827908649524E-3</v>
      </c>
      <c r="F80" s="57">
        <f>F31/F76</f>
        <v>-1.9797884285798713E-2</v>
      </c>
      <c r="G80" s="57">
        <f>G31/G76</f>
        <v>5.6882821387940841E-3</v>
      </c>
      <c r="M80" s="54">
        <f>AVERAGE(C80:G80)</f>
        <v>6.0288472865880716E-4</v>
      </c>
    </row>
    <row r="81" spans="2:13" ht="17" thickBot="1" x14ac:dyDescent="0.25">
      <c r="B81" s="34" t="s">
        <v>218</v>
      </c>
      <c r="C81" s="35">
        <v>23.1</v>
      </c>
      <c r="D81" s="35">
        <v>-0.7</v>
      </c>
      <c r="E81" s="35">
        <v>-0.9</v>
      </c>
      <c r="F81" s="35">
        <v>-0.7</v>
      </c>
      <c r="G81" s="35">
        <v>-1</v>
      </c>
      <c r="H81" s="35"/>
      <c r="I81" s="35"/>
      <c r="J81" s="35"/>
      <c r="K81" s="35"/>
      <c r="L81" s="35"/>
      <c r="M81" s="58">
        <f>AVERAGE(E81:G81)</f>
        <v>-0.8666666666666667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8CDF-FC1F-BE49-9F6E-AA81E29EF379}">
  <dimension ref="A1:G265"/>
  <sheetViews>
    <sheetView topLeftCell="A497" zoomScale="125" workbookViewId="0">
      <selection activeCell="G3" sqref="G3"/>
    </sheetView>
  </sheetViews>
  <sheetFormatPr baseColWidth="10" defaultColWidth="11.5" defaultRowHeight="16" x14ac:dyDescent="0.2"/>
  <cols>
    <col min="1" max="1" width="17.6640625" style="1" customWidth="1"/>
    <col min="2" max="2" width="14.6640625" style="1" customWidth="1"/>
    <col min="3" max="4" width="13.1640625" style="1" bestFit="1" customWidth="1"/>
    <col min="5" max="16384" width="11.5" style="1"/>
  </cols>
  <sheetData>
    <row r="1" spans="1:7" x14ac:dyDescent="0.2">
      <c r="A1" s="1" t="s">
        <v>171</v>
      </c>
    </row>
    <row r="2" spans="1:7" x14ac:dyDescent="0.2">
      <c r="A2" s="1" t="s">
        <v>172</v>
      </c>
      <c r="D2" s="1" t="s">
        <v>173</v>
      </c>
      <c r="G2" s="1" t="s">
        <v>176</v>
      </c>
    </row>
    <row r="3" spans="1:7" x14ac:dyDescent="0.2">
      <c r="A3" s="1" t="str" cm="1">
        <f t="array" aca="1" ref="A3:B265" ca="1">_xlfn.STOCKHISTORY("NGVT", DATE(2020,1,1), DATE(2024,12,31),1)</f>
        <v>Date</v>
      </c>
      <c r="B3" s="1" t="str">
        <f ca="1"/>
        <v>Close</v>
      </c>
      <c r="C3" s="1" t="s">
        <v>174</v>
      </c>
      <c r="D3" s="1" t="str" cm="1">
        <f t="array" aca="1" ref="D3:E265" ca="1">_xlfn.STOCKHISTORY("SPY", DATE(2020,1,1), DATE(2024,12,31),1,)</f>
        <v>Date</v>
      </c>
      <c r="E3" s="1" t="str">
        <f ca="1"/>
        <v>Close</v>
      </c>
      <c r="F3" s="1" t="s">
        <v>175</v>
      </c>
      <c r="G3" s="3">
        <f ca="1">SLOPE(C5:C265,F5:F265)</f>
        <v>1.4629793196947523</v>
      </c>
    </row>
    <row r="4" spans="1:7" x14ac:dyDescent="0.2">
      <c r="A4" s="1" vm="1">
        <f ca="1"/>
        <v>43829</v>
      </c>
      <c r="B4" s="1" vm="2">
        <f ca="1"/>
        <v>84.44</v>
      </c>
      <c r="D4" s="1" vm="1">
        <f ca="1"/>
        <v>43829</v>
      </c>
      <c r="E4" s="1" vm="3">
        <f ca="1"/>
        <v>322.41000000000003</v>
      </c>
    </row>
    <row r="5" spans="1:7" x14ac:dyDescent="0.2">
      <c r="A5" s="1" vm="4">
        <f ca="1"/>
        <v>43836</v>
      </c>
      <c r="B5" s="1" vm="5">
        <f ca="1"/>
        <v>78.959999999999994</v>
      </c>
      <c r="C5" s="2">
        <f ca="1">(B5/B4)-1</f>
        <v>-6.4898152534343945E-2</v>
      </c>
      <c r="D5" s="1" vm="4">
        <f ca="1"/>
        <v>43836</v>
      </c>
      <c r="E5" s="1" vm="6">
        <f ca="1"/>
        <v>325.70999999999998</v>
      </c>
      <c r="F5" s="2">
        <f ca="1">(E5/E4)-1</f>
        <v>1.0235414534288445E-2</v>
      </c>
    </row>
    <row r="6" spans="1:7" x14ac:dyDescent="0.2">
      <c r="A6" s="1" vm="7">
        <f ca="1"/>
        <v>43843</v>
      </c>
      <c r="B6" s="1" vm="8">
        <f ca="1"/>
        <v>82.56</v>
      </c>
      <c r="C6" s="2">
        <f t="shared" ref="C6:C69" ca="1" si="0">(B6/B5)-1</f>
        <v>4.5592705167173397E-2</v>
      </c>
      <c r="D6" s="1" vm="7">
        <f ca="1"/>
        <v>43843</v>
      </c>
      <c r="E6" s="1" vm="9">
        <f ca="1"/>
        <v>331.95</v>
      </c>
      <c r="F6" s="2">
        <f t="shared" ref="F6:F69" ca="1" si="1">(E6/E5)-1</f>
        <v>1.9158146817721322E-2</v>
      </c>
    </row>
    <row r="7" spans="1:7" x14ac:dyDescent="0.2">
      <c r="A7" s="1" vm="10">
        <f ca="1"/>
        <v>43851</v>
      </c>
      <c r="B7" s="1" vm="11">
        <f ca="1"/>
        <v>77.88</v>
      </c>
      <c r="C7" s="2">
        <f t="shared" ca="1" si="0"/>
        <v>-5.6686046511628008E-2</v>
      </c>
      <c r="D7" s="1" vm="10">
        <f ca="1"/>
        <v>43851</v>
      </c>
      <c r="E7" s="1" vm="12">
        <f ca="1"/>
        <v>328.77</v>
      </c>
      <c r="F7" s="2">
        <f t="shared" ca="1" si="1"/>
        <v>-9.5797559873475047E-3</v>
      </c>
    </row>
    <row r="8" spans="1:7" x14ac:dyDescent="0.2">
      <c r="A8" s="1" vm="13">
        <f ca="1"/>
        <v>43857</v>
      </c>
      <c r="B8" s="1" vm="14">
        <f ca="1"/>
        <v>65.22</v>
      </c>
      <c r="C8" s="2">
        <f t="shared" ca="1" si="0"/>
        <v>-0.16255778120184894</v>
      </c>
      <c r="D8" s="1" vm="13">
        <f ca="1"/>
        <v>43857</v>
      </c>
      <c r="E8" s="1" vm="15">
        <f ca="1"/>
        <v>321.73</v>
      </c>
      <c r="F8" s="2">
        <f t="shared" ca="1" si="1"/>
        <v>-2.1413145968306013E-2</v>
      </c>
    </row>
    <row r="9" spans="1:7" x14ac:dyDescent="0.2">
      <c r="A9" s="1" vm="16">
        <f ca="1"/>
        <v>43864</v>
      </c>
      <c r="B9" s="1" vm="17">
        <f ca="1"/>
        <v>66.84</v>
      </c>
      <c r="C9" s="2">
        <f t="shared" ca="1" si="0"/>
        <v>2.4839006439742572E-2</v>
      </c>
      <c r="D9" s="1" vm="16">
        <f ca="1"/>
        <v>43864</v>
      </c>
      <c r="E9" s="1" vm="18">
        <f ca="1"/>
        <v>332.2</v>
      </c>
      <c r="F9" s="2">
        <f t="shared" ca="1" si="1"/>
        <v>3.2542815404220882E-2</v>
      </c>
    </row>
    <row r="10" spans="1:7" x14ac:dyDescent="0.2">
      <c r="A10" s="1" vm="19">
        <f ca="1"/>
        <v>43871</v>
      </c>
      <c r="B10" s="1" vm="17">
        <f ca="1"/>
        <v>66.84</v>
      </c>
      <c r="C10" s="2">
        <f t="shared" ca="1" si="0"/>
        <v>0</v>
      </c>
      <c r="D10" s="1" vm="19">
        <f ca="1"/>
        <v>43871</v>
      </c>
      <c r="E10" s="1" vm="20">
        <f ca="1"/>
        <v>337.6</v>
      </c>
      <c r="F10" s="2">
        <f t="shared" ca="1" si="1"/>
        <v>1.6255267910897153E-2</v>
      </c>
    </row>
    <row r="11" spans="1:7" x14ac:dyDescent="0.2">
      <c r="A11" s="1" vm="21">
        <f ca="1"/>
        <v>43879</v>
      </c>
      <c r="B11" s="1" vm="22">
        <f ca="1"/>
        <v>58.49</v>
      </c>
      <c r="C11" s="2">
        <f t="shared" ca="1" si="0"/>
        <v>-0.12492519449431483</v>
      </c>
      <c r="D11" s="1" vm="21">
        <f ca="1"/>
        <v>43879</v>
      </c>
      <c r="E11" s="1" vm="23">
        <f ca="1"/>
        <v>333.48</v>
      </c>
      <c r="F11" s="2">
        <f t="shared" ca="1" si="1"/>
        <v>-1.2203791469194369E-2</v>
      </c>
    </row>
    <row r="12" spans="1:7" x14ac:dyDescent="0.2">
      <c r="A12" s="1" vm="24">
        <f ca="1"/>
        <v>43885</v>
      </c>
      <c r="B12" s="1" vm="25">
        <f ca="1"/>
        <v>45.04</v>
      </c>
      <c r="C12" s="2">
        <f t="shared" ca="1" si="0"/>
        <v>-0.22995383826295102</v>
      </c>
      <c r="D12" s="1" vm="24">
        <f ca="1"/>
        <v>43885</v>
      </c>
      <c r="E12" s="1" vm="26">
        <f ca="1"/>
        <v>296.26</v>
      </c>
      <c r="F12" s="2">
        <f t="shared" ca="1" si="1"/>
        <v>-0.1116108912078686</v>
      </c>
    </row>
    <row r="13" spans="1:7" x14ac:dyDescent="0.2">
      <c r="A13" s="1" vm="27">
        <f ca="1"/>
        <v>43892</v>
      </c>
      <c r="B13" s="1" vm="28">
        <f ca="1"/>
        <v>46.89</v>
      </c>
      <c r="C13" s="2">
        <f t="shared" ca="1" si="0"/>
        <v>4.1074600355239799E-2</v>
      </c>
      <c r="D13" s="1" vm="27">
        <f ca="1"/>
        <v>43892</v>
      </c>
      <c r="E13" s="1" vm="29">
        <f ca="1"/>
        <v>297.45999999999998</v>
      </c>
      <c r="F13" s="2">
        <f t="shared" ca="1" si="1"/>
        <v>4.0504961857827926E-3</v>
      </c>
    </row>
    <row r="14" spans="1:7" x14ac:dyDescent="0.2">
      <c r="A14" s="1" vm="30">
        <f ca="1"/>
        <v>43899</v>
      </c>
      <c r="B14" s="1" vm="31">
        <f ca="1"/>
        <v>37.83</v>
      </c>
      <c r="C14" s="2">
        <f t="shared" ca="1" si="0"/>
        <v>-0.19321817018554066</v>
      </c>
      <c r="D14" s="1" vm="30">
        <f ca="1"/>
        <v>43899</v>
      </c>
      <c r="E14" s="1" vm="32">
        <f ca="1"/>
        <v>269.32</v>
      </c>
      <c r="F14" s="2">
        <f t="shared" ca="1" si="1"/>
        <v>-9.4600954750218458E-2</v>
      </c>
    </row>
    <row r="15" spans="1:7" x14ac:dyDescent="0.2">
      <c r="A15" s="1" vm="33">
        <f ca="1"/>
        <v>43906</v>
      </c>
      <c r="B15" s="1" vm="34">
        <f ca="1"/>
        <v>28.16</v>
      </c>
      <c r="C15" s="2">
        <f t="shared" ca="1" si="0"/>
        <v>-0.25561723499867828</v>
      </c>
      <c r="D15" s="1" vm="33">
        <f ca="1"/>
        <v>43906</v>
      </c>
      <c r="E15" s="1" vm="35">
        <f ca="1"/>
        <v>228.8</v>
      </c>
      <c r="F15" s="2">
        <f t="shared" ca="1" si="1"/>
        <v>-0.15045299272241197</v>
      </c>
    </row>
    <row r="16" spans="1:7" x14ac:dyDescent="0.2">
      <c r="A16" s="1" vm="36">
        <f ca="1"/>
        <v>43913</v>
      </c>
      <c r="B16" s="1" vm="37">
        <f ca="1"/>
        <v>33.47</v>
      </c>
      <c r="C16" s="2">
        <f t="shared" ca="1" si="0"/>
        <v>0.18856534090909083</v>
      </c>
      <c r="D16" s="1" vm="36">
        <f ca="1"/>
        <v>43913</v>
      </c>
      <c r="E16" s="1" vm="38">
        <f ca="1"/>
        <v>253.42</v>
      </c>
      <c r="F16" s="2">
        <f t="shared" ca="1" si="1"/>
        <v>0.1076048951048949</v>
      </c>
    </row>
    <row r="17" spans="1:6" x14ac:dyDescent="0.2">
      <c r="A17" s="1" vm="39">
        <f ca="1"/>
        <v>43920</v>
      </c>
      <c r="B17" s="1" vm="40">
        <f ca="1"/>
        <v>34.659999999999997</v>
      </c>
      <c r="C17" s="2">
        <f t="shared" ca="1" si="0"/>
        <v>3.5554227666567018E-2</v>
      </c>
      <c r="D17" s="1" vm="39">
        <f ca="1"/>
        <v>43920</v>
      </c>
      <c r="E17" s="1" vm="41">
        <f ca="1"/>
        <v>248.19</v>
      </c>
      <c r="F17" s="2">
        <f t="shared" ca="1" si="1"/>
        <v>-2.0637676584326359E-2</v>
      </c>
    </row>
    <row r="18" spans="1:6" x14ac:dyDescent="0.2">
      <c r="A18" s="1" vm="42">
        <f ca="1"/>
        <v>43927</v>
      </c>
      <c r="B18" s="1" vm="43">
        <f ca="1"/>
        <v>42.93</v>
      </c>
      <c r="C18" s="2">
        <f t="shared" ca="1" si="0"/>
        <v>0.23860357761107909</v>
      </c>
      <c r="D18" s="1" vm="42">
        <f ca="1"/>
        <v>43927</v>
      </c>
      <c r="E18" s="1" vm="44">
        <f ca="1"/>
        <v>278.2</v>
      </c>
      <c r="F18" s="2">
        <f t="shared" ca="1" si="1"/>
        <v>0.12091542769652275</v>
      </c>
    </row>
    <row r="19" spans="1:6" x14ac:dyDescent="0.2">
      <c r="A19" s="1" vm="45">
        <f ca="1"/>
        <v>43934</v>
      </c>
      <c r="B19" s="1" vm="46">
        <f ca="1"/>
        <v>39.67</v>
      </c>
      <c r="C19" s="2">
        <f t="shared" ca="1" si="0"/>
        <v>-7.5937572792918684E-2</v>
      </c>
      <c r="D19" s="1" vm="45">
        <f ca="1"/>
        <v>43934</v>
      </c>
      <c r="E19" s="1" vm="47">
        <f ca="1"/>
        <v>286.64</v>
      </c>
      <c r="F19" s="2">
        <f t="shared" ca="1" si="1"/>
        <v>3.033788641265267E-2</v>
      </c>
    </row>
    <row r="20" spans="1:6" x14ac:dyDescent="0.2">
      <c r="A20" s="1" vm="48">
        <f ca="1"/>
        <v>43941</v>
      </c>
      <c r="B20" s="1" vm="49">
        <f ca="1"/>
        <v>38.97</v>
      </c>
      <c r="C20" s="2">
        <f t="shared" ca="1" si="0"/>
        <v>-1.7645576002016661E-2</v>
      </c>
      <c r="D20" s="1" vm="48">
        <f ca="1"/>
        <v>43941</v>
      </c>
      <c r="E20" s="1" vm="50">
        <f ca="1"/>
        <v>282.97000000000003</v>
      </c>
      <c r="F20" s="2">
        <f t="shared" ca="1" si="1"/>
        <v>-1.2803516606195831E-2</v>
      </c>
    </row>
    <row r="21" spans="1:6" x14ac:dyDescent="0.2">
      <c r="A21" s="1" vm="51">
        <f ca="1"/>
        <v>43948</v>
      </c>
      <c r="B21" s="1" vm="52">
        <f ca="1"/>
        <v>47.88</v>
      </c>
      <c r="C21" s="2">
        <f t="shared" ca="1" si="0"/>
        <v>0.22863741339491916</v>
      </c>
      <c r="D21" s="1" vm="51">
        <f ca="1"/>
        <v>43948</v>
      </c>
      <c r="E21" s="1" vm="53">
        <f ca="1"/>
        <v>282.79000000000002</v>
      </c>
      <c r="F21" s="2">
        <f t="shared" ca="1" si="1"/>
        <v>-6.3610983496487083E-4</v>
      </c>
    </row>
    <row r="22" spans="1:6" x14ac:dyDescent="0.2">
      <c r="A22" s="1" vm="54">
        <f ca="1"/>
        <v>43955</v>
      </c>
      <c r="B22" s="1" vm="55">
        <f ca="1"/>
        <v>48.44</v>
      </c>
      <c r="C22" s="2">
        <f t="shared" ca="1" si="0"/>
        <v>1.1695906432748426E-2</v>
      </c>
      <c r="D22" s="1" vm="54">
        <f ca="1"/>
        <v>43955</v>
      </c>
      <c r="E22" s="1" vm="56">
        <f ca="1"/>
        <v>292.44</v>
      </c>
      <c r="F22" s="2">
        <f t="shared" ca="1" si="1"/>
        <v>3.4124261819724833E-2</v>
      </c>
    </row>
    <row r="23" spans="1:6" x14ac:dyDescent="0.2">
      <c r="A23" s="1" vm="57">
        <f ca="1"/>
        <v>43962</v>
      </c>
      <c r="B23" s="1" vm="58">
        <f ca="1"/>
        <v>45.83</v>
      </c>
      <c r="C23" s="2">
        <f t="shared" ca="1" si="0"/>
        <v>-5.3881090008257582E-2</v>
      </c>
      <c r="D23" s="1" vm="57">
        <f ca="1"/>
        <v>43962</v>
      </c>
      <c r="E23" s="1" vm="59">
        <f ca="1"/>
        <v>286.27999999999997</v>
      </c>
      <c r="F23" s="2">
        <f t="shared" ca="1" si="1"/>
        <v>-2.1064149911092955E-2</v>
      </c>
    </row>
    <row r="24" spans="1:6" x14ac:dyDescent="0.2">
      <c r="A24" s="1" vm="60">
        <f ca="1"/>
        <v>43969</v>
      </c>
      <c r="B24" s="1" vm="61">
        <f ca="1"/>
        <v>51.46</v>
      </c>
      <c r="C24" s="2">
        <f t="shared" ca="1" si="0"/>
        <v>0.12284529783984288</v>
      </c>
      <c r="D24" s="1" vm="60">
        <f ca="1"/>
        <v>43969</v>
      </c>
      <c r="E24" s="1" vm="62">
        <f ca="1"/>
        <v>295.44</v>
      </c>
      <c r="F24" s="2">
        <f t="shared" ca="1" si="1"/>
        <v>3.1996646639653514E-2</v>
      </c>
    </row>
    <row r="25" spans="1:6" x14ac:dyDescent="0.2">
      <c r="A25" s="1" vm="63">
        <f ca="1"/>
        <v>43977</v>
      </c>
      <c r="B25" s="1" vm="64">
        <f ca="1"/>
        <v>52.67</v>
      </c>
      <c r="C25" s="2">
        <f t="shared" ca="1" si="0"/>
        <v>2.3513408472600084E-2</v>
      </c>
      <c r="D25" s="1" vm="63">
        <f ca="1"/>
        <v>43977</v>
      </c>
      <c r="E25" s="1" vm="65">
        <f ca="1"/>
        <v>304.32</v>
      </c>
      <c r="F25" s="2">
        <f t="shared" ca="1" si="1"/>
        <v>3.005686433793664E-2</v>
      </c>
    </row>
    <row r="26" spans="1:6" x14ac:dyDescent="0.2">
      <c r="A26" s="1" vm="66">
        <f ca="1"/>
        <v>43983</v>
      </c>
      <c r="B26" s="1" vm="67">
        <f ca="1"/>
        <v>57.89</v>
      </c>
      <c r="C26" s="2">
        <f t="shared" ca="1" si="0"/>
        <v>9.9107651414467313E-2</v>
      </c>
      <c r="D26" s="1" vm="66">
        <f ca="1"/>
        <v>43983</v>
      </c>
      <c r="E26" s="1" vm="68">
        <f ca="1"/>
        <v>319.33999999999997</v>
      </c>
      <c r="F26" s="2">
        <f t="shared" ca="1" si="1"/>
        <v>4.9355941114616053E-2</v>
      </c>
    </row>
    <row r="27" spans="1:6" x14ac:dyDescent="0.2">
      <c r="A27" s="1" vm="69">
        <f ca="1"/>
        <v>43990</v>
      </c>
      <c r="B27" s="1" vm="70">
        <f ca="1"/>
        <v>50.25</v>
      </c>
      <c r="C27" s="2">
        <f t="shared" ca="1" si="0"/>
        <v>-0.13197443427189504</v>
      </c>
      <c r="D27" s="1" vm="69">
        <f ca="1"/>
        <v>43990</v>
      </c>
      <c r="E27" s="1" vm="71">
        <f ca="1"/>
        <v>304.20999999999998</v>
      </c>
      <c r="F27" s="2">
        <f t="shared" ca="1" si="1"/>
        <v>-4.7378969123817893E-2</v>
      </c>
    </row>
    <row r="28" spans="1:6" x14ac:dyDescent="0.2">
      <c r="A28" s="1" vm="72">
        <f ca="1"/>
        <v>43997</v>
      </c>
      <c r="B28" s="1" vm="73">
        <f ca="1"/>
        <v>51.5</v>
      </c>
      <c r="C28" s="2">
        <f t="shared" ca="1" si="0"/>
        <v>2.4875621890547261E-2</v>
      </c>
      <c r="D28" s="1" vm="72">
        <f ca="1"/>
        <v>43997</v>
      </c>
      <c r="E28" s="1" vm="74">
        <f ca="1"/>
        <v>308.64</v>
      </c>
      <c r="F28" s="2">
        <f t="shared" ca="1" si="1"/>
        <v>1.4562308931330259E-2</v>
      </c>
    </row>
    <row r="29" spans="1:6" x14ac:dyDescent="0.2">
      <c r="A29" s="1" vm="75">
        <f ca="1"/>
        <v>44004</v>
      </c>
      <c r="B29" s="1" vm="76">
        <f ca="1"/>
        <v>47.31</v>
      </c>
      <c r="C29" s="2">
        <f t="shared" ca="1" si="0"/>
        <v>-8.1359223300970784E-2</v>
      </c>
      <c r="D29" s="1" vm="75">
        <f ca="1"/>
        <v>44004</v>
      </c>
      <c r="E29" s="1" vm="77">
        <f ca="1"/>
        <v>300.05</v>
      </c>
      <c r="F29" s="2">
        <f t="shared" ca="1" si="1"/>
        <v>-2.7831778123379891E-2</v>
      </c>
    </row>
    <row r="30" spans="1:6" x14ac:dyDescent="0.2">
      <c r="A30" s="1" vm="78">
        <f ca="1"/>
        <v>44011</v>
      </c>
      <c r="B30" s="1" vm="79">
        <f ca="1"/>
        <v>52.66</v>
      </c>
      <c r="C30" s="2">
        <f t="shared" ca="1" si="0"/>
        <v>0.11308391460579137</v>
      </c>
      <c r="D30" s="1" vm="78">
        <f ca="1"/>
        <v>44011</v>
      </c>
      <c r="E30" s="1" vm="80">
        <f ca="1"/>
        <v>312.23</v>
      </c>
      <c r="F30" s="2">
        <f t="shared" ca="1" si="1"/>
        <v>4.0593234460923222E-2</v>
      </c>
    </row>
    <row r="31" spans="1:6" x14ac:dyDescent="0.2">
      <c r="A31" s="1" vm="81">
        <f ca="1"/>
        <v>44018</v>
      </c>
      <c r="B31" s="1" vm="82">
        <f ca="1"/>
        <v>53.19</v>
      </c>
      <c r="C31" s="2">
        <f t="shared" ca="1" si="0"/>
        <v>1.006456513482723E-2</v>
      </c>
      <c r="D31" s="1" vm="81">
        <f ca="1"/>
        <v>44018</v>
      </c>
      <c r="E31" s="1" vm="83">
        <f ca="1"/>
        <v>317.58999999999997</v>
      </c>
      <c r="F31" s="2">
        <f t="shared" ca="1" si="1"/>
        <v>1.7166832142971433E-2</v>
      </c>
    </row>
    <row r="32" spans="1:6" x14ac:dyDescent="0.2">
      <c r="A32" s="1" vm="84">
        <f ca="1"/>
        <v>44025</v>
      </c>
      <c r="B32" s="1" vm="85">
        <f ca="1"/>
        <v>59.57</v>
      </c>
      <c r="C32" s="2">
        <f t="shared" ca="1" si="0"/>
        <v>0.11994735852603888</v>
      </c>
      <c r="D32" s="1" vm="84">
        <f ca="1"/>
        <v>44025</v>
      </c>
      <c r="E32" s="1" vm="86">
        <f ca="1"/>
        <v>321.72000000000003</v>
      </c>
      <c r="F32" s="2">
        <f t="shared" ca="1" si="1"/>
        <v>1.3004187789288135E-2</v>
      </c>
    </row>
    <row r="33" spans="1:6" x14ac:dyDescent="0.2">
      <c r="A33" s="1" vm="87">
        <f ca="1"/>
        <v>44032</v>
      </c>
      <c r="B33" s="1" vm="88">
        <f ca="1"/>
        <v>58.1</v>
      </c>
      <c r="C33" s="2">
        <f t="shared" ca="1" si="0"/>
        <v>-2.4676850763807212E-2</v>
      </c>
      <c r="D33" s="1" vm="87">
        <f ca="1"/>
        <v>44032</v>
      </c>
      <c r="E33" s="1" vm="89">
        <f ca="1"/>
        <v>320.88</v>
      </c>
      <c r="F33" s="2">
        <f t="shared" ca="1" si="1"/>
        <v>-2.6109660574413773E-3</v>
      </c>
    </row>
    <row r="34" spans="1:6" x14ac:dyDescent="0.2">
      <c r="A34" s="1" vm="90">
        <f ca="1"/>
        <v>44039</v>
      </c>
      <c r="B34" s="1" vm="91">
        <f ca="1"/>
        <v>58.48</v>
      </c>
      <c r="C34" s="2">
        <f t="shared" ca="1" si="0"/>
        <v>6.5404475043029375E-3</v>
      </c>
      <c r="D34" s="1" vm="90">
        <f ca="1"/>
        <v>44039</v>
      </c>
      <c r="E34" s="1" vm="92">
        <f ca="1"/>
        <v>326.52</v>
      </c>
      <c r="F34" s="2">
        <f t="shared" ca="1" si="1"/>
        <v>1.757666417352266E-2</v>
      </c>
    </row>
    <row r="35" spans="1:6" x14ac:dyDescent="0.2">
      <c r="A35" s="1" vm="93">
        <f ca="1"/>
        <v>44046</v>
      </c>
      <c r="B35" s="1" vm="94">
        <f ca="1"/>
        <v>58.51</v>
      </c>
      <c r="C35" s="2">
        <f t="shared" ca="1" si="0"/>
        <v>5.1299589603281959E-4</v>
      </c>
      <c r="D35" s="1" vm="93">
        <f ca="1"/>
        <v>44046</v>
      </c>
      <c r="E35" s="1" vm="95">
        <f ca="1"/>
        <v>334.57</v>
      </c>
      <c r="F35" s="2">
        <f t="shared" ca="1" si="1"/>
        <v>2.465392625260332E-2</v>
      </c>
    </row>
    <row r="36" spans="1:6" x14ac:dyDescent="0.2">
      <c r="A36" s="1" vm="96">
        <f ca="1"/>
        <v>44053</v>
      </c>
      <c r="B36" s="1" vm="97">
        <f ca="1"/>
        <v>60.73</v>
      </c>
      <c r="C36" s="2">
        <f t="shared" ca="1" si="0"/>
        <v>3.7942232097077477E-2</v>
      </c>
      <c r="D36" s="1" vm="96">
        <f ca="1"/>
        <v>44053</v>
      </c>
      <c r="E36" s="1" vm="98">
        <f ca="1"/>
        <v>336.84</v>
      </c>
      <c r="F36" s="2">
        <f t="shared" ca="1" si="1"/>
        <v>6.7848282870550669E-3</v>
      </c>
    </row>
    <row r="37" spans="1:6" x14ac:dyDescent="0.2">
      <c r="A37" s="1" vm="99">
        <f ca="1"/>
        <v>44060</v>
      </c>
      <c r="B37" s="1" vm="100">
        <f ca="1"/>
        <v>57.7</v>
      </c>
      <c r="C37" s="2">
        <f t="shared" ca="1" si="0"/>
        <v>-4.9892968878643029E-2</v>
      </c>
      <c r="D37" s="1" vm="99">
        <f ca="1"/>
        <v>44060</v>
      </c>
      <c r="E37" s="1" vm="101">
        <f ca="1"/>
        <v>339.48</v>
      </c>
      <c r="F37" s="2">
        <f t="shared" ca="1" si="1"/>
        <v>7.837548984681364E-3</v>
      </c>
    </row>
    <row r="38" spans="1:6" x14ac:dyDescent="0.2">
      <c r="A38" s="1" vm="102">
        <f ca="1"/>
        <v>44067</v>
      </c>
      <c r="B38" s="1" vm="103">
        <f ca="1"/>
        <v>57.99</v>
      </c>
      <c r="C38" s="2">
        <f t="shared" ca="1" si="0"/>
        <v>5.0259965337955403E-3</v>
      </c>
      <c r="D38" s="1" vm="102">
        <f ca="1"/>
        <v>44067</v>
      </c>
      <c r="E38" s="1" vm="104">
        <f ca="1"/>
        <v>350.58</v>
      </c>
      <c r="F38" s="2">
        <f t="shared" ca="1" si="1"/>
        <v>3.2697066101095684E-2</v>
      </c>
    </row>
    <row r="39" spans="1:6" x14ac:dyDescent="0.2">
      <c r="A39" s="1" vm="105">
        <f ca="1"/>
        <v>44074</v>
      </c>
      <c r="B39" s="1" vm="106">
        <f ca="1"/>
        <v>59.23</v>
      </c>
      <c r="C39" s="2">
        <f t="shared" ca="1" si="0"/>
        <v>2.138299706846003E-2</v>
      </c>
      <c r="D39" s="1" vm="105">
        <f ca="1"/>
        <v>44074</v>
      </c>
      <c r="E39" s="1" vm="107">
        <f ca="1"/>
        <v>342.57</v>
      </c>
      <c r="F39" s="2">
        <f t="shared" ca="1" si="1"/>
        <v>-2.2847852130754687E-2</v>
      </c>
    </row>
    <row r="40" spans="1:6" x14ac:dyDescent="0.2">
      <c r="A40" s="1" vm="108">
        <f ca="1"/>
        <v>44082</v>
      </c>
      <c r="B40" s="1" vm="109">
        <f ca="1"/>
        <v>56.87</v>
      </c>
      <c r="C40" s="2">
        <f t="shared" ca="1" si="0"/>
        <v>-3.9844673307445566E-2</v>
      </c>
      <c r="D40" s="1" vm="108">
        <f ca="1"/>
        <v>44082</v>
      </c>
      <c r="E40" s="1" vm="110">
        <f ca="1"/>
        <v>334.06</v>
      </c>
      <c r="F40" s="2">
        <f t="shared" ca="1" si="1"/>
        <v>-2.4841638205330252E-2</v>
      </c>
    </row>
    <row r="41" spans="1:6" x14ac:dyDescent="0.2">
      <c r="A41" s="1" vm="111">
        <f ca="1"/>
        <v>44088</v>
      </c>
      <c r="B41" s="1" vm="112">
        <f ca="1"/>
        <v>55.58</v>
      </c>
      <c r="C41" s="2">
        <f t="shared" ca="1" si="0"/>
        <v>-2.2683312818709278E-2</v>
      </c>
      <c r="D41" s="1" vm="111">
        <f ca="1"/>
        <v>44088</v>
      </c>
      <c r="E41" s="1" vm="113">
        <f ca="1"/>
        <v>330.65</v>
      </c>
      <c r="F41" s="2">
        <f t="shared" ca="1" si="1"/>
        <v>-1.020774711129746E-2</v>
      </c>
    </row>
    <row r="42" spans="1:6" x14ac:dyDescent="0.2">
      <c r="A42" s="1" vm="114">
        <f ca="1"/>
        <v>44095</v>
      </c>
      <c r="B42" s="1" vm="115">
        <f ca="1"/>
        <v>48.32</v>
      </c>
      <c r="C42" s="2">
        <f t="shared" ca="1" si="0"/>
        <v>-0.13062252608852098</v>
      </c>
      <c r="D42" s="1" vm="114">
        <f ca="1"/>
        <v>44095</v>
      </c>
      <c r="E42" s="1" vm="116">
        <f ca="1"/>
        <v>328.73</v>
      </c>
      <c r="F42" s="2">
        <f t="shared" ca="1" si="1"/>
        <v>-5.806744291546817E-3</v>
      </c>
    </row>
    <row r="43" spans="1:6" x14ac:dyDescent="0.2">
      <c r="A43" s="1" vm="117">
        <f ca="1"/>
        <v>44102</v>
      </c>
      <c r="B43" s="1" vm="118">
        <f ca="1"/>
        <v>52.93</v>
      </c>
      <c r="C43" s="2">
        <f t="shared" ca="1" si="0"/>
        <v>9.5405629139072801E-2</v>
      </c>
      <c r="D43" s="1" vm="117">
        <f ca="1"/>
        <v>44102</v>
      </c>
      <c r="E43" s="1" vm="119">
        <f ca="1"/>
        <v>333.84</v>
      </c>
      <c r="F43" s="2">
        <f t="shared" ca="1" si="1"/>
        <v>1.5544671919204056E-2</v>
      </c>
    </row>
    <row r="44" spans="1:6" x14ac:dyDescent="0.2">
      <c r="A44" s="1" vm="120">
        <f ca="1"/>
        <v>44109</v>
      </c>
      <c r="B44" s="1" vm="121">
        <f ca="1"/>
        <v>59.37</v>
      </c>
      <c r="C44" s="2">
        <f t="shared" ca="1" si="0"/>
        <v>0.12167013036085383</v>
      </c>
      <c r="D44" s="1" vm="120">
        <f ca="1"/>
        <v>44109</v>
      </c>
      <c r="E44" s="1" vm="122">
        <f ca="1"/>
        <v>346.85</v>
      </c>
      <c r="F44" s="2">
        <f t="shared" ca="1" si="1"/>
        <v>3.8970764438054362E-2</v>
      </c>
    </row>
    <row r="45" spans="1:6" x14ac:dyDescent="0.2">
      <c r="A45" s="1" vm="123">
        <f ca="1"/>
        <v>44116</v>
      </c>
      <c r="B45" s="1" vm="124">
        <f ca="1"/>
        <v>62.3</v>
      </c>
      <c r="C45" s="2">
        <f t="shared" ca="1" si="0"/>
        <v>4.9351524338891783E-2</v>
      </c>
      <c r="D45" s="1" vm="123">
        <f ca="1"/>
        <v>44116</v>
      </c>
      <c r="E45" s="1" vm="125">
        <f ca="1"/>
        <v>347.29</v>
      </c>
      <c r="F45" s="2">
        <f t="shared" ca="1" si="1"/>
        <v>1.2685598962087763E-3</v>
      </c>
    </row>
    <row r="46" spans="1:6" x14ac:dyDescent="0.2">
      <c r="A46" s="1" vm="126">
        <f ca="1"/>
        <v>44123</v>
      </c>
      <c r="B46" s="1" vm="127">
        <f ca="1"/>
        <v>60.11</v>
      </c>
      <c r="C46" s="2">
        <f t="shared" ca="1" si="0"/>
        <v>-3.5152487961476742E-2</v>
      </c>
      <c r="D46" s="1" vm="126">
        <f ca="1"/>
        <v>44123</v>
      </c>
      <c r="E46" s="1" vm="128">
        <f ca="1"/>
        <v>345.78</v>
      </c>
      <c r="F46" s="2">
        <f t="shared" ca="1" si="1"/>
        <v>-4.3479512799102782E-3</v>
      </c>
    </row>
    <row r="47" spans="1:6" x14ac:dyDescent="0.2">
      <c r="A47" s="1" vm="129">
        <f ca="1"/>
        <v>44130</v>
      </c>
      <c r="B47" s="1" vm="130">
        <f ca="1"/>
        <v>54.88</v>
      </c>
      <c r="C47" s="2">
        <f t="shared" ca="1" si="0"/>
        <v>-8.7007153551821648E-2</v>
      </c>
      <c r="D47" s="1" vm="129">
        <f ca="1"/>
        <v>44130</v>
      </c>
      <c r="E47" s="1" vm="131">
        <f ca="1"/>
        <v>326.54000000000002</v>
      </c>
      <c r="F47" s="2">
        <f t="shared" ca="1" si="1"/>
        <v>-5.5642315923419394E-2</v>
      </c>
    </row>
    <row r="48" spans="1:6" x14ac:dyDescent="0.2">
      <c r="A48" s="1" vm="132">
        <f ca="1"/>
        <v>44137</v>
      </c>
      <c r="B48" s="1" vm="133">
        <f ca="1"/>
        <v>59.15</v>
      </c>
      <c r="C48" s="2">
        <f t="shared" ca="1" si="0"/>
        <v>7.7806122448979442E-2</v>
      </c>
      <c r="D48" s="1" vm="132">
        <f ca="1"/>
        <v>44137</v>
      </c>
      <c r="E48" s="1" vm="134">
        <f ca="1"/>
        <v>350.16</v>
      </c>
      <c r="F48" s="2">
        <f t="shared" ca="1" si="1"/>
        <v>7.233417039260126E-2</v>
      </c>
    </row>
    <row r="49" spans="1:6" x14ac:dyDescent="0.2">
      <c r="A49" s="1" vm="135">
        <f ca="1"/>
        <v>44144</v>
      </c>
      <c r="B49" s="1" vm="136">
        <f ca="1"/>
        <v>67.349999999999994</v>
      </c>
      <c r="C49" s="2">
        <f t="shared" ca="1" si="0"/>
        <v>0.13863060016906159</v>
      </c>
      <c r="D49" s="1" vm="135">
        <f ca="1"/>
        <v>44144</v>
      </c>
      <c r="E49" s="1" vm="137">
        <f ca="1"/>
        <v>358.1</v>
      </c>
      <c r="F49" s="2">
        <f t="shared" ca="1" si="1"/>
        <v>2.2675348412154461E-2</v>
      </c>
    </row>
    <row r="50" spans="1:6" x14ac:dyDescent="0.2">
      <c r="A50" s="1" vm="138">
        <f ca="1"/>
        <v>44151</v>
      </c>
      <c r="B50" s="1" vm="139">
        <f ca="1"/>
        <v>66.790000000000006</v>
      </c>
      <c r="C50" s="2">
        <f t="shared" ca="1" si="0"/>
        <v>-8.3147735708981596E-3</v>
      </c>
      <c r="D50" s="1" vm="138">
        <f ca="1"/>
        <v>44151</v>
      </c>
      <c r="E50" s="1" vm="140">
        <f ca="1"/>
        <v>355.33</v>
      </c>
      <c r="F50" s="2">
        <f t="shared" ca="1" si="1"/>
        <v>-7.7352694777995668E-3</v>
      </c>
    </row>
    <row r="51" spans="1:6" x14ac:dyDescent="0.2">
      <c r="A51" s="1" vm="141">
        <f ca="1"/>
        <v>44158</v>
      </c>
      <c r="B51" s="1" vm="142">
        <f ca="1"/>
        <v>68.45</v>
      </c>
      <c r="C51" s="2">
        <f t="shared" ca="1" si="0"/>
        <v>2.4854020062883508E-2</v>
      </c>
      <c r="D51" s="1" vm="141">
        <f ca="1"/>
        <v>44158</v>
      </c>
      <c r="E51" s="1" vm="143">
        <f ca="1"/>
        <v>363.67</v>
      </c>
      <c r="F51" s="2">
        <f t="shared" ca="1" si="1"/>
        <v>2.347113950412294E-2</v>
      </c>
    </row>
    <row r="52" spans="1:6" x14ac:dyDescent="0.2">
      <c r="A52" s="1" vm="144">
        <f ca="1"/>
        <v>44165</v>
      </c>
      <c r="B52" s="1" vm="145">
        <f ca="1"/>
        <v>70.150000000000006</v>
      </c>
      <c r="C52" s="2">
        <f t="shared" ca="1" si="0"/>
        <v>2.4835646457268101E-2</v>
      </c>
      <c r="D52" s="1" vm="144">
        <f ca="1"/>
        <v>44165</v>
      </c>
      <c r="E52" s="1" vm="146">
        <f ca="1"/>
        <v>369.85</v>
      </c>
      <c r="F52" s="2">
        <f t="shared" ca="1" si="1"/>
        <v>1.6993428107900055E-2</v>
      </c>
    </row>
    <row r="53" spans="1:6" x14ac:dyDescent="0.2">
      <c r="A53" s="1" vm="147">
        <f ca="1"/>
        <v>44172</v>
      </c>
      <c r="B53" s="1" vm="148">
        <f ca="1"/>
        <v>71.28</v>
      </c>
      <c r="C53" s="2">
        <f t="shared" ca="1" si="0"/>
        <v>1.6108339272986383E-2</v>
      </c>
      <c r="D53" s="1" vm="147">
        <f ca="1"/>
        <v>44172</v>
      </c>
      <c r="E53" s="1" vm="149">
        <f ca="1"/>
        <v>366.3</v>
      </c>
      <c r="F53" s="2">
        <f t="shared" ca="1" si="1"/>
        <v>-9.598485872651108E-3</v>
      </c>
    </row>
    <row r="54" spans="1:6" x14ac:dyDescent="0.2">
      <c r="A54" s="1" vm="150">
        <f ca="1"/>
        <v>44179</v>
      </c>
      <c r="B54" s="1" vm="151">
        <f ca="1"/>
        <v>72.150000000000006</v>
      </c>
      <c r="C54" s="2">
        <f t="shared" ca="1" si="0"/>
        <v>1.220538720538733E-2</v>
      </c>
      <c r="D54" s="1" vm="150">
        <f ca="1"/>
        <v>44179</v>
      </c>
      <c r="E54" s="1" vm="152">
        <f ca="1"/>
        <v>369.18</v>
      </c>
      <c r="F54" s="2">
        <f t="shared" ca="1" si="1"/>
        <v>7.862407862407883E-3</v>
      </c>
    </row>
    <row r="55" spans="1:6" x14ac:dyDescent="0.2">
      <c r="A55" s="1" vm="153">
        <f ca="1"/>
        <v>44186</v>
      </c>
      <c r="B55" s="1" vm="154">
        <f ca="1"/>
        <v>74.290000000000006</v>
      </c>
      <c r="C55" s="2">
        <f t="shared" ca="1" si="0"/>
        <v>2.9660429660429699E-2</v>
      </c>
      <c r="D55" s="1" vm="153">
        <f ca="1"/>
        <v>44186</v>
      </c>
      <c r="E55" s="1" vm="155">
        <f ca="1"/>
        <v>369</v>
      </c>
      <c r="F55" s="2">
        <f t="shared" ca="1" si="1"/>
        <v>-4.8756704046803989E-4</v>
      </c>
    </row>
    <row r="56" spans="1:6" x14ac:dyDescent="0.2">
      <c r="A56" s="1" vm="156">
        <f ca="1"/>
        <v>44193</v>
      </c>
      <c r="B56" s="1" vm="157">
        <f ca="1"/>
        <v>75.73</v>
      </c>
      <c r="C56" s="2">
        <f t="shared" ca="1" si="0"/>
        <v>1.9383497105936121E-2</v>
      </c>
      <c r="D56" s="1" vm="156">
        <f ca="1"/>
        <v>44193</v>
      </c>
      <c r="E56" s="1" vm="158">
        <f ca="1"/>
        <v>373.88</v>
      </c>
      <c r="F56" s="2">
        <f t="shared" ca="1" si="1"/>
        <v>1.322493224932253E-2</v>
      </c>
    </row>
    <row r="57" spans="1:6" x14ac:dyDescent="0.2">
      <c r="A57" s="1" vm="159">
        <f ca="1"/>
        <v>44200</v>
      </c>
      <c r="B57" s="1" vm="160">
        <f ca="1"/>
        <v>75.36</v>
      </c>
      <c r="C57" s="2">
        <f t="shared" ca="1" si="0"/>
        <v>-4.8857784233461432E-3</v>
      </c>
      <c r="D57" s="1" vm="159">
        <f ca="1"/>
        <v>44200</v>
      </c>
      <c r="E57" s="1" vm="161">
        <f ca="1"/>
        <v>381.26</v>
      </c>
      <c r="F57" s="2">
        <f t="shared" ca="1" si="1"/>
        <v>1.9738953674975912E-2</v>
      </c>
    </row>
    <row r="58" spans="1:6" x14ac:dyDescent="0.2">
      <c r="A58" s="1" vm="162">
        <f ca="1"/>
        <v>44207</v>
      </c>
      <c r="B58" s="1" vm="163">
        <f ca="1"/>
        <v>73.42</v>
      </c>
      <c r="C58" s="2">
        <f t="shared" ca="1" si="0"/>
        <v>-2.5743099787685741E-2</v>
      </c>
      <c r="D58" s="1" vm="162">
        <f ca="1"/>
        <v>44207</v>
      </c>
      <c r="E58" s="1" vm="164">
        <f ca="1"/>
        <v>375.7</v>
      </c>
      <c r="F58" s="2">
        <f t="shared" ca="1" si="1"/>
        <v>-1.458322404658241E-2</v>
      </c>
    </row>
    <row r="59" spans="1:6" x14ac:dyDescent="0.2">
      <c r="A59" s="1" vm="165">
        <f ca="1"/>
        <v>44215</v>
      </c>
      <c r="B59" s="1" vm="166">
        <f ca="1"/>
        <v>72.459999999999994</v>
      </c>
      <c r="C59" s="2">
        <f t="shared" ca="1" si="0"/>
        <v>-1.3075456278943132E-2</v>
      </c>
      <c r="D59" s="1" vm="165">
        <f ca="1"/>
        <v>44215</v>
      </c>
      <c r="E59" s="1" vm="167">
        <f ca="1"/>
        <v>382.88</v>
      </c>
      <c r="F59" s="2">
        <f t="shared" ca="1" si="1"/>
        <v>1.9110992813414995E-2</v>
      </c>
    </row>
    <row r="60" spans="1:6" x14ac:dyDescent="0.2">
      <c r="A60" s="1" vm="168">
        <f ca="1"/>
        <v>44221</v>
      </c>
      <c r="B60" s="1" vm="169">
        <f ca="1"/>
        <v>65.69</v>
      </c>
      <c r="C60" s="2">
        <f t="shared" ca="1" si="0"/>
        <v>-9.3430858404636941E-2</v>
      </c>
      <c r="D60" s="1" vm="168">
        <f ca="1"/>
        <v>44221</v>
      </c>
      <c r="E60" s="1" vm="170">
        <f ca="1"/>
        <v>370.07</v>
      </c>
      <c r="F60" s="2">
        <f t="shared" ca="1" si="1"/>
        <v>-3.3456957793564612E-2</v>
      </c>
    </row>
    <row r="61" spans="1:6" x14ac:dyDescent="0.2">
      <c r="A61" s="1" vm="171">
        <f ca="1"/>
        <v>44228</v>
      </c>
      <c r="B61" s="1" vm="172">
        <f ca="1"/>
        <v>72.45</v>
      </c>
      <c r="C61" s="2">
        <f t="shared" ca="1" si="0"/>
        <v>0.10290759628558388</v>
      </c>
      <c r="D61" s="1" vm="171">
        <f ca="1"/>
        <v>44228</v>
      </c>
      <c r="E61" s="1" vm="173">
        <f ca="1"/>
        <v>387.71</v>
      </c>
      <c r="F61" s="2">
        <f t="shared" ca="1" si="1"/>
        <v>4.7666657659361622E-2</v>
      </c>
    </row>
    <row r="62" spans="1:6" x14ac:dyDescent="0.2">
      <c r="A62" s="1" vm="174">
        <f ca="1"/>
        <v>44235</v>
      </c>
      <c r="B62" s="1" vm="175">
        <f ca="1"/>
        <v>69.959999999999994</v>
      </c>
      <c r="C62" s="2">
        <f t="shared" ca="1" si="0"/>
        <v>-3.4368530020704058E-2</v>
      </c>
      <c r="D62" s="1" vm="174">
        <f ca="1"/>
        <v>44235</v>
      </c>
      <c r="E62" s="1" vm="176">
        <f ca="1"/>
        <v>392.64</v>
      </c>
      <c r="F62" s="2">
        <f t="shared" ca="1" si="1"/>
        <v>1.2715689561785926E-2</v>
      </c>
    </row>
    <row r="63" spans="1:6" x14ac:dyDescent="0.2">
      <c r="A63" s="1" vm="177">
        <f ca="1"/>
        <v>44243</v>
      </c>
      <c r="B63" s="1" vm="178">
        <f ca="1"/>
        <v>69.94</v>
      </c>
      <c r="C63" s="2">
        <f t="shared" ca="1" si="0"/>
        <v>-2.8587764436815988E-4</v>
      </c>
      <c r="D63" s="1" vm="177">
        <f ca="1"/>
        <v>44243</v>
      </c>
      <c r="E63" s="1" vm="179">
        <f ca="1"/>
        <v>390.03</v>
      </c>
      <c r="F63" s="2">
        <f t="shared" ca="1" si="1"/>
        <v>-6.6473105134474686E-3</v>
      </c>
    </row>
    <row r="64" spans="1:6" x14ac:dyDescent="0.2">
      <c r="A64" s="1" vm="180">
        <f ca="1"/>
        <v>44249</v>
      </c>
      <c r="B64" s="1" vm="181">
        <f ca="1"/>
        <v>69.48</v>
      </c>
      <c r="C64" s="2">
        <f t="shared" ca="1" si="0"/>
        <v>-6.5770660566198957E-3</v>
      </c>
      <c r="D64" s="1" vm="180">
        <f ca="1"/>
        <v>44249</v>
      </c>
      <c r="E64" s="1" vm="182">
        <f ca="1"/>
        <v>380.36</v>
      </c>
      <c r="F64" s="2">
        <f t="shared" ca="1" si="1"/>
        <v>-2.4792964643745252E-2</v>
      </c>
    </row>
    <row r="65" spans="1:6" x14ac:dyDescent="0.2">
      <c r="A65" s="1" vm="183">
        <f ca="1"/>
        <v>44256</v>
      </c>
      <c r="B65" s="1" vm="184">
        <f ca="1"/>
        <v>72.599999999999994</v>
      </c>
      <c r="C65" s="2">
        <f t="shared" ca="1" si="0"/>
        <v>4.4905008635578447E-2</v>
      </c>
      <c r="D65" s="1" vm="183">
        <f ca="1"/>
        <v>44256</v>
      </c>
      <c r="E65" s="1" vm="185">
        <f ca="1"/>
        <v>383.63</v>
      </c>
      <c r="F65" s="2">
        <f t="shared" ca="1" si="1"/>
        <v>8.5971185192974531E-3</v>
      </c>
    </row>
    <row r="66" spans="1:6" x14ac:dyDescent="0.2">
      <c r="A66" s="1" vm="186">
        <f ca="1"/>
        <v>44263</v>
      </c>
      <c r="B66" s="1" vm="187">
        <f ca="1"/>
        <v>77.98</v>
      </c>
      <c r="C66" s="2">
        <f t="shared" ca="1" si="0"/>
        <v>7.4104683195592491E-2</v>
      </c>
      <c r="D66" s="1" vm="186">
        <f ca="1"/>
        <v>44263</v>
      </c>
      <c r="E66" s="1" vm="188">
        <f ca="1"/>
        <v>394.06</v>
      </c>
      <c r="F66" s="2">
        <f t="shared" ca="1" si="1"/>
        <v>2.7187654771524628E-2</v>
      </c>
    </row>
    <row r="67" spans="1:6" x14ac:dyDescent="0.2">
      <c r="A67" s="1" vm="189">
        <f ca="1"/>
        <v>44270</v>
      </c>
      <c r="B67" s="1" vm="190">
        <f ca="1"/>
        <v>75.31</v>
      </c>
      <c r="C67" s="2">
        <f t="shared" ca="1" si="0"/>
        <v>-3.4239548602205683E-2</v>
      </c>
      <c r="D67" s="1" vm="189">
        <f ca="1"/>
        <v>44270</v>
      </c>
      <c r="E67" s="1" vm="191">
        <f ca="1"/>
        <v>389.48</v>
      </c>
      <c r="F67" s="2">
        <f t="shared" ca="1" si="1"/>
        <v>-1.162259554382572E-2</v>
      </c>
    </row>
    <row r="68" spans="1:6" x14ac:dyDescent="0.2">
      <c r="A68" s="1" vm="192">
        <f ca="1"/>
        <v>44277</v>
      </c>
      <c r="B68" s="1" vm="193">
        <f ca="1"/>
        <v>76.55</v>
      </c>
      <c r="C68" s="2">
        <f t="shared" ca="1" si="0"/>
        <v>1.6465276855663236E-2</v>
      </c>
      <c r="D68" s="1" vm="192">
        <f ca="1"/>
        <v>44277</v>
      </c>
      <c r="E68" s="1" vm="194">
        <f ca="1"/>
        <v>395.98</v>
      </c>
      <c r="F68" s="2">
        <f t="shared" ca="1" si="1"/>
        <v>1.6688918558077415E-2</v>
      </c>
    </row>
    <row r="69" spans="1:6" x14ac:dyDescent="0.2">
      <c r="A69" s="1" vm="195">
        <f ca="1"/>
        <v>44284</v>
      </c>
      <c r="B69" s="1" vm="157">
        <f ca="1"/>
        <v>75.73</v>
      </c>
      <c r="C69" s="2">
        <f t="shared" ca="1" si="0"/>
        <v>-1.0711952971913741E-2</v>
      </c>
      <c r="D69" s="1" vm="195">
        <f ca="1"/>
        <v>44284</v>
      </c>
      <c r="E69" s="1" vm="196">
        <f ca="1"/>
        <v>400.61</v>
      </c>
      <c r="F69" s="2">
        <f t="shared" ca="1" si="1"/>
        <v>1.1692509722713185E-2</v>
      </c>
    </row>
    <row r="70" spans="1:6" x14ac:dyDescent="0.2">
      <c r="A70" s="1" vm="197">
        <f ca="1"/>
        <v>44291</v>
      </c>
      <c r="B70" s="1" vm="198">
        <f ca="1"/>
        <v>71.5</v>
      </c>
      <c r="C70" s="2">
        <f t="shared" ref="C70:C133" ca="1" si="2">(B70/B69)-1</f>
        <v>-5.5856331704740581E-2</v>
      </c>
      <c r="D70" s="1" vm="197">
        <f ca="1"/>
        <v>44291</v>
      </c>
      <c r="E70" s="1" vm="199">
        <f ca="1"/>
        <v>411.49</v>
      </c>
      <c r="F70" s="2">
        <f t="shared" ref="F70:F133" ca="1" si="3">(E70/E69)-1</f>
        <v>2.7158583160679983E-2</v>
      </c>
    </row>
    <row r="71" spans="1:6" x14ac:dyDescent="0.2">
      <c r="A71" s="1" vm="200">
        <f ca="1"/>
        <v>44298</v>
      </c>
      <c r="B71" s="1" vm="201">
        <f ca="1"/>
        <v>74.13</v>
      </c>
      <c r="C71" s="2">
        <f t="shared" ca="1" si="2"/>
        <v>3.6783216783216721E-2</v>
      </c>
      <c r="D71" s="1" vm="200">
        <f ca="1"/>
        <v>44298</v>
      </c>
      <c r="E71" s="1" vm="202">
        <f ca="1"/>
        <v>417.26</v>
      </c>
      <c r="F71" s="2">
        <f t="shared" ca="1" si="3"/>
        <v>1.4022211961408404E-2</v>
      </c>
    </row>
    <row r="72" spans="1:6" x14ac:dyDescent="0.2">
      <c r="A72" s="1" vm="203">
        <f ca="1"/>
        <v>44305</v>
      </c>
      <c r="B72" s="1" vm="204">
        <f ca="1"/>
        <v>72.959999999999994</v>
      </c>
      <c r="C72" s="2">
        <f t="shared" ca="1" si="2"/>
        <v>-1.5783083771752304E-2</v>
      </c>
      <c r="D72" s="1" vm="203">
        <f ca="1"/>
        <v>44305</v>
      </c>
      <c r="E72" s="1" vm="205">
        <f ca="1"/>
        <v>416.74</v>
      </c>
      <c r="F72" s="2">
        <f t="shared" ca="1" si="3"/>
        <v>-1.2462253750659125E-3</v>
      </c>
    </row>
    <row r="73" spans="1:6" x14ac:dyDescent="0.2">
      <c r="A73" s="1" vm="206">
        <f ca="1"/>
        <v>44312</v>
      </c>
      <c r="B73" s="1" vm="207">
        <f ca="1"/>
        <v>78.08</v>
      </c>
      <c r="C73" s="2">
        <f t="shared" ca="1" si="2"/>
        <v>7.0175438596491224E-2</v>
      </c>
      <c r="D73" s="1" vm="206">
        <f ca="1"/>
        <v>44312</v>
      </c>
      <c r="E73" s="1" vm="208">
        <f ca="1"/>
        <v>417.3</v>
      </c>
      <c r="F73" s="2">
        <f t="shared" ca="1" si="3"/>
        <v>1.3437634976243285E-3</v>
      </c>
    </row>
    <row r="74" spans="1:6" x14ac:dyDescent="0.2">
      <c r="A74" s="1" vm="209">
        <f ca="1"/>
        <v>44319</v>
      </c>
      <c r="B74" s="1" vm="210">
        <f ca="1"/>
        <v>87.59</v>
      </c>
      <c r="C74" s="2">
        <f t="shared" ca="1" si="2"/>
        <v>0.12179815573770503</v>
      </c>
      <c r="D74" s="1" vm="209">
        <f ca="1"/>
        <v>44319</v>
      </c>
      <c r="E74" s="1" vm="211">
        <f ca="1"/>
        <v>422.12</v>
      </c>
      <c r="F74" s="2">
        <f t="shared" ca="1" si="3"/>
        <v>1.1550443326144189E-2</v>
      </c>
    </row>
    <row r="75" spans="1:6" x14ac:dyDescent="0.2">
      <c r="A75" s="1" vm="212">
        <f ca="1"/>
        <v>44326</v>
      </c>
      <c r="B75" s="1" vm="213">
        <f ca="1"/>
        <v>89.24</v>
      </c>
      <c r="C75" s="2">
        <f t="shared" ca="1" si="2"/>
        <v>1.8837766868363914E-2</v>
      </c>
      <c r="D75" s="1" vm="212">
        <f ca="1"/>
        <v>44326</v>
      </c>
      <c r="E75" s="1" vm="214">
        <f ca="1"/>
        <v>416.58</v>
      </c>
      <c r="F75" s="2">
        <f t="shared" ca="1" si="3"/>
        <v>-1.312423007675545E-2</v>
      </c>
    </row>
    <row r="76" spans="1:6" x14ac:dyDescent="0.2">
      <c r="A76" s="1" vm="215">
        <f ca="1"/>
        <v>44333</v>
      </c>
      <c r="B76" s="1" vm="216">
        <f ca="1"/>
        <v>84.98</v>
      </c>
      <c r="C76" s="2">
        <f t="shared" ca="1" si="2"/>
        <v>-4.7736441057821488E-2</v>
      </c>
      <c r="D76" s="1" vm="215">
        <f ca="1"/>
        <v>44333</v>
      </c>
      <c r="E76" s="1" vm="217">
        <f ca="1"/>
        <v>414.94</v>
      </c>
      <c r="F76" s="2">
        <f t="shared" ca="1" si="3"/>
        <v>-3.9368188583225328E-3</v>
      </c>
    </row>
    <row r="77" spans="1:6" x14ac:dyDescent="0.2">
      <c r="A77" s="1" vm="218">
        <f ca="1"/>
        <v>44340</v>
      </c>
      <c r="B77" s="1" vm="219">
        <f ca="1"/>
        <v>82.31</v>
      </c>
      <c r="C77" s="2">
        <f t="shared" ca="1" si="2"/>
        <v>-3.1419157448811519E-2</v>
      </c>
      <c r="D77" s="1" vm="218">
        <f ca="1"/>
        <v>44340</v>
      </c>
      <c r="E77" s="1" vm="220">
        <f ca="1"/>
        <v>420.04</v>
      </c>
      <c r="F77" s="2">
        <f t="shared" ca="1" si="3"/>
        <v>1.22909336289585E-2</v>
      </c>
    </row>
    <row r="78" spans="1:6" x14ac:dyDescent="0.2">
      <c r="A78" s="1" vm="221">
        <f ca="1"/>
        <v>44348</v>
      </c>
      <c r="B78" s="1" vm="222">
        <f ca="1"/>
        <v>85.7</v>
      </c>
      <c r="C78" s="2">
        <f t="shared" ca="1" si="2"/>
        <v>4.118576114688377E-2</v>
      </c>
      <c r="D78" s="1" vm="221">
        <f ca="1"/>
        <v>44348</v>
      </c>
      <c r="E78" s="1" vm="223">
        <f ca="1"/>
        <v>422.6</v>
      </c>
      <c r="F78" s="2">
        <f t="shared" ca="1" si="3"/>
        <v>6.094657651652291E-3</v>
      </c>
    </row>
    <row r="79" spans="1:6" x14ac:dyDescent="0.2">
      <c r="A79" s="1" vm="224">
        <f ca="1"/>
        <v>44354</v>
      </c>
      <c r="B79" s="1" vm="225">
        <f ca="1"/>
        <v>83.61</v>
      </c>
      <c r="C79" s="2">
        <f t="shared" ca="1" si="2"/>
        <v>-2.4387397899649943E-2</v>
      </c>
      <c r="D79" s="1" vm="224">
        <f ca="1"/>
        <v>44354</v>
      </c>
      <c r="E79" s="1" vm="226">
        <f ca="1"/>
        <v>424.31</v>
      </c>
      <c r="F79" s="2">
        <f t="shared" ca="1" si="3"/>
        <v>4.0463795551348714E-3</v>
      </c>
    </row>
    <row r="80" spans="1:6" x14ac:dyDescent="0.2">
      <c r="A80" s="1" vm="227">
        <f ca="1"/>
        <v>44361</v>
      </c>
      <c r="B80" s="1" vm="228">
        <f ca="1"/>
        <v>79.69</v>
      </c>
      <c r="C80" s="2">
        <f t="shared" ca="1" si="2"/>
        <v>-4.6884343977993126E-2</v>
      </c>
      <c r="D80" s="1" vm="227">
        <f ca="1"/>
        <v>44361</v>
      </c>
      <c r="E80" s="1" vm="229">
        <f ca="1"/>
        <v>414.92</v>
      </c>
      <c r="F80" s="2">
        <f t="shared" ca="1" si="3"/>
        <v>-2.2130046428318839E-2</v>
      </c>
    </row>
    <row r="81" spans="1:6" x14ac:dyDescent="0.2">
      <c r="A81" s="1" vm="230">
        <f ca="1"/>
        <v>44368</v>
      </c>
      <c r="B81" s="1" vm="231">
        <f ca="1"/>
        <v>81.87</v>
      </c>
      <c r="C81" s="2">
        <f t="shared" ca="1" si="2"/>
        <v>2.7356004517505417E-2</v>
      </c>
      <c r="D81" s="1" vm="230">
        <f ca="1"/>
        <v>44368</v>
      </c>
      <c r="E81" s="1" vm="232">
        <f ca="1"/>
        <v>426.61</v>
      </c>
      <c r="F81" s="2">
        <f t="shared" ca="1" si="3"/>
        <v>2.8174105851730413E-2</v>
      </c>
    </row>
    <row r="82" spans="1:6" x14ac:dyDescent="0.2">
      <c r="A82" s="1" vm="233">
        <f ca="1"/>
        <v>44375</v>
      </c>
      <c r="B82" s="1" vm="234">
        <f ca="1"/>
        <v>81.98</v>
      </c>
      <c r="C82" s="2">
        <f t="shared" ca="1" si="2"/>
        <v>1.343593501893281E-3</v>
      </c>
      <c r="D82" s="1" vm="233">
        <f ca="1"/>
        <v>44375</v>
      </c>
      <c r="E82" s="1" vm="235">
        <f ca="1"/>
        <v>433.72</v>
      </c>
      <c r="F82" s="2">
        <f t="shared" ca="1" si="3"/>
        <v>1.6666275989779988E-2</v>
      </c>
    </row>
    <row r="83" spans="1:6" x14ac:dyDescent="0.2">
      <c r="A83" s="1" vm="236">
        <f ca="1"/>
        <v>44383</v>
      </c>
      <c r="B83" s="1" vm="237">
        <f ca="1"/>
        <v>82.07</v>
      </c>
      <c r="C83" s="2">
        <f t="shared" ca="1" si="2"/>
        <v>1.0978287387166663E-3</v>
      </c>
      <c r="D83" s="1" vm="236">
        <f ca="1"/>
        <v>44383</v>
      </c>
      <c r="E83" s="1" vm="238">
        <f ca="1"/>
        <v>435.52</v>
      </c>
      <c r="F83" s="2">
        <f t="shared" ca="1" si="3"/>
        <v>4.1501429493682185E-3</v>
      </c>
    </row>
    <row r="84" spans="1:6" x14ac:dyDescent="0.2">
      <c r="A84" s="1" vm="239">
        <f ca="1"/>
        <v>44389</v>
      </c>
      <c r="B84" s="1" vm="240">
        <f ca="1"/>
        <v>79.03</v>
      </c>
      <c r="C84" s="2">
        <f t="shared" ca="1" si="2"/>
        <v>-3.7041549896429826E-2</v>
      </c>
      <c r="D84" s="1" vm="239">
        <f ca="1"/>
        <v>44389</v>
      </c>
      <c r="E84" s="1" vm="241">
        <f ca="1"/>
        <v>431.34</v>
      </c>
      <c r="F84" s="2">
        <f t="shared" ca="1" si="3"/>
        <v>-9.5977222630418968E-3</v>
      </c>
    </row>
    <row r="85" spans="1:6" x14ac:dyDescent="0.2">
      <c r="A85" s="1" vm="242">
        <f ca="1"/>
        <v>44396</v>
      </c>
      <c r="B85" s="1" vm="243">
        <f ca="1"/>
        <v>80.040000000000006</v>
      </c>
      <c r="C85" s="2">
        <f t="shared" ca="1" si="2"/>
        <v>1.277995697836265E-2</v>
      </c>
      <c r="D85" s="1" vm="242">
        <f ca="1"/>
        <v>44396</v>
      </c>
      <c r="E85" s="1" vm="244">
        <f ca="1"/>
        <v>439.94</v>
      </c>
      <c r="F85" s="2">
        <f t="shared" ca="1" si="3"/>
        <v>1.9937868039133999E-2</v>
      </c>
    </row>
    <row r="86" spans="1:6" x14ac:dyDescent="0.2">
      <c r="A86" s="1" vm="245">
        <f ca="1"/>
        <v>44403</v>
      </c>
      <c r="B86" s="1" vm="246">
        <f ca="1"/>
        <v>84.94</v>
      </c>
      <c r="C86" s="2">
        <f t="shared" ca="1" si="2"/>
        <v>6.1219390304847465E-2</v>
      </c>
      <c r="D86" s="1" vm="245">
        <f ca="1"/>
        <v>44403</v>
      </c>
      <c r="E86" s="1" vm="247">
        <f ca="1"/>
        <v>438.51</v>
      </c>
      <c r="F86" s="2">
        <f t="shared" ca="1" si="3"/>
        <v>-3.2504432422603147E-3</v>
      </c>
    </row>
    <row r="87" spans="1:6" x14ac:dyDescent="0.2">
      <c r="A87" s="1" vm="248">
        <f ca="1"/>
        <v>44410</v>
      </c>
      <c r="B87" s="1" vm="249">
        <f ca="1"/>
        <v>82.42</v>
      </c>
      <c r="C87" s="2">
        <f t="shared" ca="1" si="2"/>
        <v>-2.9668000941841299E-2</v>
      </c>
      <c r="D87" s="1" vm="248">
        <f ca="1"/>
        <v>44410</v>
      </c>
      <c r="E87" s="1" vm="250">
        <f ca="1"/>
        <v>442.49</v>
      </c>
      <c r="F87" s="2">
        <f t="shared" ca="1" si="3"/>
        <v>9.0761898246334294E-3</v>
      </c>
    </row>
    <row r="88" spans="1:6" x14ac:dyDescent="0.2">
      <c r="A88" s="1" vm="251">
        <f ca="1"/>
        <v>44417</v>
      </c>
      <c r="B88" s="1" vm="252">
        <f ca="1"/>
        <v>84.23</v>
      </c>
      <c r="C88" s="2">
        <f t="shared" ca="1" si="2"/>
        <v>2.1960689153118107E-2</v>
      </c>
      <c r="D88" s="1" vm="251">
        <f ca="1"/>
        <v>44417</v>
      </c>
      <c r="E88" s="1" vm="253">
        <f ca="1"/>
        <v>445.92</v>
      </c>
      <c r="F88" s="2">
        <f t="shared" ca="1" si="3"/>
        <v>7.7515876064995215E-3</v>
      </c>
    </row>
    <row r="89" spans="1:6" x14ac:dyDescent="0.2">
      <c r="A89" s="1" vm="254">
        <f ca="1"/>
        <v>44424</v>
      </c>
      <c r="B89" s="1" vm="255">
        <f ca="1"/>
        <v>77.569999999999993</v>
      </c>
      <c r="C89" s="2">
        <f t="shared" ca="1" si="2"/>
        <v>-7.9069215243974922E-2</v>
      </c>
      <c r="D89" s="1" vm="254">
        <f ca="1"/>
        <v>44424</v>
      </c>
      <c r="E89" s="1" vm="256">
        <f ca="1"/>
        <v>443.36</v>
      </c>
      <c r="F89" s="2">
        <f t="shared" ca="1" si="3"/>
        <v>-5.7409400789378839E-3</v>
      </c>
    </row>
    <row r="90" spans="1:6" x14ac:dyDescent="0.2">
      <c r="A90" s="1" vm="257">
        <f ca="1"/>
        <v>44431</v>
      </c>
      <c r="B90" s="1" vm="258">
        <f ca="1"/>
        <v>82.05</v>
      </c>
      <c r="C90" s="2">
        <f t="shared" ca="1" si="2"/>
        <v>5.775428645094749E-2</v>
      </c>
      <c r="D90" s="1" vm="257">
        <f ca="1"/>
        <v>44431</v>
      </c>
      <c r="E90" s="1" vm="259">
        <f ca="1"/>
        <v>450.25</v>
      </c>
      <c r="F90" s="2">
        <f t="shared" ca="1" si="3"/>
        <v>1.5540418621436292E-2</v>
      </c>
    </row>
    <row r="91" spans="1:6" x14ac:dyDescent="0.2">
      <c r="A91" s="1" vm="260">
        <f ca="1"/>
        <v>44438</v>
      </c>
      <c r="B91" s="1" vm="261">
        <f ca="1"/>
        <v>78.8</v>
      </c>
      <c r="C91" s="2">
        <f t="shared" ca="1" si="2"/>
        <v>-3.9609993906154828E-2</v>
      </c>
      <c r="D91" s="1" vm="260">
        <f ca="1"/>
        <v>44438</v>
      </c>
      <c r="E91" s="1" vm="262">
        <f ca="1"/>
        <v>453.08</v>
      </c>
      <c r="F91" s="2">
        <f t="shared" ca="1" si="3"/>
        <v>6.285397001665638E-3</v>
      </c>
    </row>
    <row r="92" spans="1:6" x14ac:dyDescent="0.2">
      <c r="A92" s="1" vm="263">
        <f ca="1"/>
        <v>44446</v>
      </c>
      <c r="B92" s="1" vm="264">
        <f ca="1"/>
        <v>73.64</v>
      </c>
      <c r="C92" s="2">
        <f t="shared" ca="1" si="2"/>
        <v>-6.5482233502538012E-2</v>
      </c>
      <c r="D92" s="1" vm="263">
        <f ca="1"/>
        <v>44446</v>
      </c>
      <c r="E92" s="1" vm="265">
        <f ca="1"/>
        <v>445.44</v>
      </c>
      <c r="F92" s="2">
        <f t="shared" ca="1" si="3"/>
        <v>-1.6862364262381857E-2</v>
      </c>
    </row>
    <row r="93" spans="1:6" x14ac:dyDescent="0.2">
      <c r="A93" s="1" vm="266">
        <f ca="1"/>
        <v>44452</v>
      </c>
      <c r="B93" s="1" vm="267">
        <f ca="1"/>
        <v>71.61</v>
      </c>
      <c r="C93" s="2">
        <f t="shared" ca="1" si="2"/>
        <v>-2.7566539923954414E-2</v>
      </c>
      <c r="D93" s="1" vm="266">
        <f ca="1"/>
        <v>44452</v>
      </c>
      <c r="E93" s="1" vm="268">
        <f ca="1"/>
        <v>441.4</v>
      </c>
      <c r="F93" s="2">
        <f t="shared" ca="1" si="3"/>
        <v>-9.0696839080460778E-3</v>
      </c>
    </row>
    <row r="94" spans="1:6" x14ac:dyDescent="0.2">
      <c r="A94" s="1" vm="269">
        <f ca="1"/>
        <v>44459</v>
      </c>
      <c r="B94" s="1" vm="151">
        <f ca="1"/>
        <v>72.150000000000006</v>
      </c>
      <c r="C94" s="2">
        <f t="shared" ca="1" si="2"/>
        <v>7.5408462505237583E-3</v>
      </c>
      <c r="D94" s="1" vm="269">
        <f ca="1"/>
        <v>44459</v>
      </c>
      <c r="E94" s="1" vm="270">
        <f ca="1"/>
        <v>443.91</v>
      </c>
      <c r="F94" s="2">
        <f t="shared" ca="1" si="3"/>
        <v>5.68645219755326E-3</v>
      </c>
    </row>
    <row r="95" spans="1:6" x14ac:dyDescent="0.2">
      <c r="A95" s="1" vm="271">
        <f ca="1"/>
        <v>44466</v>
      </c>
      <c r="B95" s="1" vm="272">
        <f ca="1"/>
        <v>74.37</v>
      </c>
      <c r="C95" s="2">
        <f t="shared" ca="1" si="2"/>
        <v>3.076923076923066E-2</v>
      </c>
      <c r="D95" s="1" vm="271">
        <f ca="1"/>
        <v>44466</v>
      </c>
      <c r="E95" s="1" vm="273">
        <f ca="1"/>
        <v>434.24</v>
      </c>
      <c r="F95" s="2">
        <f t="shared" ca="1" si="3"/>
        <v>-2.1783694893109051E-2</v>
      </c>
    </row>
    <row r="96" spans="1:6" x14ac:dyDescent="0.2">
      <c r="A96" s="1" vm="274">
        <f ca="1"/>
        <v>44473</v>
      </c>
      <c r="B96" s="1" vm="275">
        <f ca="1"/>
        <v>75.38</v>
      </c>
      <c r="C96" s="2">
        <f t="shared" ca="1" si="2"/>
        <v>1.3580744924028387E-2</v>
      </c>
      <c r="D96" s="1" vm="274">
        <f ca="1"/>
        <v>44473</v>
      </c>
      <c r="E96" s="1" vm="276">
        <f ca="1"/>
        <v>437.86</v>
      </c>
      <c r="F96" s="2">
        <f t="shared" ca="1" si="3"/>
        <v>8.3364038319824196E-3</v>
      </c>
    </row>
    <row r="97" spans="1:6" x14ac:dyDescent="0.2">
      <c r="A97" s="1" vm="277">
        <f ca="1"/>
        <v>44480</v>
      </c>
      <c r="B97" s="1" vm="278">
        <f ca="1"/>
        <v>77.95</v>
      </c>
      <c r="C97" s="2">
        <f t="shared" ca="1" si="2"/>
        <v>3.409392411780332E-2</v>
      </c>
      <c r="D97" s="1" vm="277">
        <f ca="1"/>
        <v>44480</v>
      </c>
      <c r="E97" s="1" vm="279">
        <f ca="1"/>
        <v>445.87</v>
      </c>
      <c r="F97" s="2">
        <f t="shared" ca="1" si="3"/>
        <v>1.8293518476225179E-2</v>
      </c>
    </row>
    <row r="98" spans="1:6" x14ac:dyDescent="0.2">
      <c r="A98" s="1" vm="280">
        <f ca="1"/>
        <v>44487</v>
      </c>
      <c r="B98" s="1" vm="281">
        <f ca="1"/>
        <v>78.63</v>
      </c>
      <c r="C98" s="2">
        <f t="shared" ca="1" si="2"/>
        <v>8.7235407312378221E-3</v>
      </c>
      <c r="D98" s="1" vm="280">
        <f ca="1"/>
        <v>44487</v>
      </c>
      <c r="E98" s="1" vm="282">
        <f ca="1"/>
        <v>453.12</v>
      </c>
      <c r="F98" s="2">
        <f t="shared" ca="1" si="3"/>
        <v>1.6260344943593408E-2</v>
      </c>
    </row>
    <row r="99" spans="1:6" x14ac:dyDescent="0.2">
      <c r="A99" s="1" vm="283">
        <f ca="1"/>
        <v>44494</v>
      </c>
      <c r="B99" s="1" vm="284">
        <f ca="1"/>
        <v>77.91</v>
      </c>
      <c r="C99" s="2">
        <f t="shared" ca="1" si="2"/>
        <v>-9.1568103777184273E-3</v>
      </c>
      <c r="D99" s="1" vm="283">
        <f ca="1"/>
        <v>44494</v>
      </c>
      <c r="E99" s="1" vm="285">
        <f ca="1"/>
        <v>459.25</v>
      </c>
      <c r="F99" s="2">
        <f t="shared" ca="1" si="3"/>
        <v>1.3528425141242861E-2</v>
      </c>
    </row>
    <row r="100" spans="1:6" x14ac:dyDescent="0.2">
      <c r="A100" s="1" vm="286">
        <f ca="1"/>
        <v>44501</v>
      </c>
      <c r="B100" s="1" vm="287">
        <f ca="1"/>
        <v>82.17</v>
      </c>
      <c r="C100" s="2">
        <f t="shared" ca="1" si="2"/>
        <v>5.4678475163650431E-2</v>
      </c>
      <c r="D100" s="1" vm="286">
        <f ca="1"/>
        <v>44501</v>
      </c>
      <c r="E100" s="1" vm="288">
        <f ca="1"/>
        <v>468.53</v>
      </c>
      <c r="F100" s="2">
        <f t="shared" ca="1" si="3"/>
        <v>2.0206859009254119E-2</v>
      </c>
    </row>
    <row r="101" spans="1:6" x14ac:dyDescent="0.2">
      <c r="A101" s="1" vm="289">
        <f ca="1"/>
        <v>44508</v>
      </c>
      <c r="B101" s="1" vm="290">
        <f ca="1"/>
        <v>83.18</v>
      </c>
      <c r="C101" s="2">
        <f t="shared" ca="1" si="2"/>
        <v>1.229159060484375E-2</v>
      </c>
      <c r="D101" s="1" vm="289">
        <f ca="1"/>
        <v>44508</v>
      </c>
      <c r="E101" s="1" vm="291">
        <f ca="1"/>
        <v>467.27</v>
      </c>
      <c r="F101" s="2">
        <f t="shared" ca="1" si="3"/>
        <v>-2.6892621603739064E-3</v>
      </c>
    </row>
    <row r="102" spans="1:6" x14ac:dyDescent="0.2">
      <c r="A102" s="1" vm="292">
        <f ca="1"/>
        <v>44515</v>
      </c>
      <c r="B102" s="1" vm="293">
        <f ca="1"/>
        <v>78.83</v>
      </c>
      <c r="C102" s="2">
        <f t="shared" ca="1" si="2"/>
        <v>-5.2296225054099588E-2</v>
      </c>
      <c r="D102" s="1" vm="292">
        <f ca="1"/>
        <v>44515</v>
      </c>
      <c r="E102" s="1" vm="294">
        <f ca="1"/>
        <v>468.89</v>
      </c>
      <c r="F102" s="2">
        <f t="shared" ca="1" si="3"/>
        <v>3.4669463051339999E-3</v>
      </c>
    </row>
    <row r="103" spans="1:6" x14ac:dyDescent="0.2">
      <c r="A103" s="1" vm="295">
        <f ca="1"/>
        <v>44522</v>
      </c>
      <c r="B103" s="1" vm="296">
        <f ca="1"/>
        <v>74.3</v>
      </c>
      <c r="C103" s="2">
        <f t="shared" ca="1" si="2"/>
        <v>-5.7465431942154033E-2</v>
      </c>
      <c r="D103" s="1" vm="295">
        <f ca="1"/>
        <v>44522</v>
      </c>
      <c r="E103" s="1" vm="297">
        <f ca="1"/>
        <v>458.97</v>
      </c>
      <c r="F103" s="2">
        <f t="shared" ca="1" si="3"/>
        <v>-2.1156347970739287E-2</v>
      </c>
    </row>
    <row r="104" spans="1:6" x14ac:dyDescent="0.2">
      <c r="A104" s="1" vm="298">
        <f ca="1"/>
        <v>44529</v>
      </c>
      <c r="B104" s="1" vm="299">
        <f ca="1"/>
        <v>72.77</v>
      </c>
      <c r="C104" s="2">
        <f t="shared" ca="1" si="2"/>
        <v>-2.0592193808882886E-2</v>
      </c>
      <c r="D104" s="1" vm="298">
        <f ca="1"/>
        <v>44529</v>
      </c>
      <c r="E104" s="1" vm="300">
        <f ca="1"/>
        <v>453.42</v>
      </c>
      <c r="F104" s="2">
        <f t="shared" ca="1" si="3"/>
        <v>-1.2092293613961691E-2</v>
      </c>
    </row>
    <row r="105" spans="1:6" x14ac:dyDescent="0.2">
      <c r="A105" s="1" vm="301">
        <f ca="1"/>
        <v>44536</v>
      </c>
      <c r="B105" s="1" vm="302">
        <f ca="1"/>
        <v>73.900000000000006</v>
      </c>
      <c r="C105" s="2">
        <f t="shared" ca="1" si="2"/>
        <v>1.5528377078466438E-2</v>
      </c>
      <c r="D105" s="1" vm="301">
        <f ca="1"/>
        <v>44536</v>
      </c>
      <c r="E105" s="1" vm="303">
        <f ca="1"/>
        <v>470.74</v>
      </c>
      <c r="F105" s="2">
        <f t="shared" ca="1" si="3"/>
        <v>3.8198579683295764E-2</v>
      </c>
    </row>
    <row r="106" spans="1:6" x14ac:dyDescent="0.2">
      <c r="A106" s="1" vm="304">
        <f ca="1"/>
        <v>44543</v>
      </c>
      <c r="B106" s="1" vm="305">
        <f ca="1"/>
        <v>71.87</v>
      </c>
      <c r="C106" s="2">
        <f t="shared" ca="1" si="2"/>
        <v>-2.7469553450608974E-2</v>
      </c>
      <c r="D106" s="1" vm="304">
        <f ca="1"/>
        <v>44543</v>
      </c>
      <c r="E106" s="1" vm="306">
        <f ca="1"/>
        <v>459.87</v>
      </c>
      <c r="F106" s="2">
        <f t="shared" ca="1" si="3"/>
        <v>-2.3091303054764811E-2</v>
      </c>
    </row>
    <row r="107" spans="1:6" x14ac:dyDescent="0.2">
      <c r="A107" s="1" vm="307">
        <f ca="1"/>
        <v>44550</v>
      </c>
      <c r="B107" s="1" vm="308">
        <f ca="1"/>
        <v>71.94</v>
      </c>
      <c r="C107" s="2">
        <f t="shared" ca="1" si="2"/>
        <v>9.7398079866417575E-4</v>
      </c>
      <c r="D107" s="1" vm="307">
        <f ca="1"/>
        <v>44550</v>
      </c>
      <c r="E107" s="1" vm="309">
        <f ca="1"/>
        <v>470.6</v>
      </c>
      <c r="F107" s="2">
        <f t="shared" ca="1" si="3"/>
        <v>2.3332680975058251E-2</v>
      </c>
    </row>
    <row r="108" spans="1:6" x14ac:dyDescent="0.2">
      <c r="A108" s="1" vm="310">
        <f ca="1"/>
        <v>44557</v>
      </c>
      <c r="B108" s="1" vm="311">
        <f ca="1"/>
        <v>71.7</v>
      </c>
      <c r="C108" s="2">
        <f t="shared" ca="1" si="2"/>
        <v>-3.3361134278564464E-3</v>
      </c>
      <c r="D108" s="1" vm="310">
        <f ca="1"/>
        <v>44557</v>
      </c>
      <c r="E108" s="1" vm="312">
        <f ca="1"/>
        <v>474.96</v>
      </c>
      <c r="F108" s="2">
        <f t="shared" ca="1" si="3"/>
        <v>9.264768380790489E-3</v>
      </c>
    </row>
    <row r="109" spans="1:6" x14ac:dyDescent="0.2">
      <c r="A109" s="1" vm="313">
        <f ca="1"/>
        <v>44564</v>
      </c>
      <c r="B109" s="1" vm="314">
        <f ca="1"/>
        <v>73.599999999999994</v>
      </c>
      <c r="C109" s="2">
        <f t="shared" ca="1" si="2"/>
        <v>2.6499302649930057E-2</v>
      </c>
      <c r="D109" s="1" vm="313">
        <f ca="1"/>
        <v>44564</v>
      </c>
      <c r="E109" s="1" vm="315">
        <f ca="1"/>
        <v>466.09</v>
      </c>
      <c r="F109" s="2">
        <f t="shared" ca="1" si="3"/>
        <v>-1.8675256863735945E-2</v>
      </c>
    </row>
    <row r="110" spans="1:6" x14ac:dyDescent="0.2">
      <c r="A110" s="1" vm="316">
        <f ca="1"/>
        <v>44571</v>
      </c>
      <c r="B110" s="1" vm="317">
        <f ca="1"/>
        <v>73.97</v>
      </c>
      <c r="C110" s="2">
        <f t="shared" ca="1" si="2"/>
        <v>5.0271739130436366E-3</v>
      </c>
      <c r="D110" s="1" vm="316">
        <f ca="1"/>
        <v>44571</v>
      </c>
      <c r="E110" s="1" vm="318">
        <f ca="1"/>
        <v>464.72</v>
      </c>
      <c r="F110" s="2">
        <f t="shared" ca="1" si="3"/>
        <v>-2.939346478147864E-3</v>
      </c>
    </row>
    <row r="111" spans="1:6" x14ac:dyDescent="0.2">
      <c r="A111" s="1" vm="319">
        <f ca="1"/>
        <v>44579</v>
      </c>
      <c r="B111" s="1" vm="320">
        <f ca="1"/>
        <v>68.64</v>
      </c>
      <c r="C111" s="2">
        <f t="shared" ca="1" si="2"/>
        <v>-7.2056239015817147E-2</v>
      </c>
      <c r="D111" s="1" vm="319">
        <f ca="1"/>
        <v>44579</v>
      </c>
      <c r="E111" s="1" vm="321">
        <f ca="1"/>
        <v>437.98</v>
      </c>
      <c r="F111" s="2">
        <f t="shared" ca="1" si="3"/>
        <v>-5.7540024100533715E-2</v>
      </c>
    </row>
    <row r="112" spans="1:6" x14ac:dyDescent="0.2">
      <c r="A112" s="1" vm="322">
        <f ca="1"/>
        <v>44585</v>
      </c>
      <c r="B112" s="1" vm="323">
        <f ca="1"/>
        <v>64.95</v>
      </c>
      <c r="C112" s="2">
        <f t="shared" ca="1" si="2"/>
        <v>-5.3758741258741249E-2</v>
      </c>
      <c r="D112" s="1" vm="322">
        <f ca="1"/>
        <v>44585</v>
      </c>
      <c r="E112" s="1" vm="324">
        <f ca="1"/>
        <v>441.95</v>
      </c>
      <c r="F112" s="2">
        <f t="shared" ca="1" si="3"/>
        <v>9.0643408374810885E-3</v>
      </c>
    </row>
    <row r="113" spans="1:6" x14ac:dyDescent="0.2">
      <c r="A113" s="1" vm="325">
        <f ca="1"/>
        <v>44592</v>
      </c>
      <c r="B113" s="1" vm="326">
        <f ca="1"/>
        <v>63.18</v>
      </c>
      <c r="C113" s="2">
        <f t="shared" ca="1" si="2"/>
        <v>-2.7251732101616688E-2</v>
      </c>
      <c r="D113" s="1" vm="325">
        <f ca="1"/>
        <v>44592</v>
      </c>
      <c r="E113" s="1" vm="327">
        <f ca="1"/>
        <v>448.7</v>
      </c>
      <c r="F113" s="2">
        <f t="shared" ca="1" si="3"/>
        <v>1.5273220952596533E-2</v>
      </c>
    </row>
    <row r="114" spans="1:6" x14ac:dyDescent="0.2">
      <c r="A114" s="1" vm="328">
        <f ca="1"/>
        <v>44599</v>
      </c>
      <c r="B114" s="1" vm="329">
        <f ca="1"/>
        <v>64.78</v>
      </c>
      <c r="C114" s="2">
        <f t="shared" ca="1" si="2"/>
        <v>2.5324469768914337E-2</v>
      </c>
      <c r="D114" s="1" vm="328">
        <f ca="1"/>
        <v>44599</v>
      </c>
      <c r="E114" s="1" vm="330">
        <f ca="1"/>
        <v>440.46</v>
      </c>
      <c r="F114" s="2">
        <f t="shared" ca="1" si="3"/>
        <v>-1.8364163137954082E-2</v>
      </c>
    </row>
    <row r="115" spans="1:6" x14ac:dyDescent="0.2">
      <c r="A115" s="1" vm="331">
        <f ca="1"/>
        <v>44606</v>
      </c>
      <c r="B115" s="1" vm="332">
        <f ca="1"/>
        <v>66.47</v>
      </c>
      <c r="C115" s="2">
        <f t="shared" ca="1" si="2"/>
        <v>2.6088298857672054E-2</v>
      </c>
      <c r="D115" s="1" vm="331">
        <f ca="1"/>
        <v>44606</v>
      </c>
      <c r="E115" s="1" vm="333">
        <f ca="1"/>
        <v>434.23</v>
      </c>
      <c r="F115" s="2">
        <f t="shared" ca="1" si="3"/>
        <v>-1.4144303682513626E-2</v>
      </c>
    </row>
    <row r="116" spans="1:6" x14ac:dyDescent="0.2">
      <c r="A116" s="1" vm="334">
        <f ca="1"/>
        <v>44614</v>
      </c>
      <c r="B116" s="1" vm="335">
        <f ca="1"/>
        <v>68.59</v>
      </c>
      <c r="C116" s="2">
        <f t="shared" ca="1" si="2"/>
        <v>3.1894087558297146E-2</v>
      </c>
      <c r="D116" s="1" vm="334">
        <f ca="1"/>
        <v>44614</v>
      </c>
      <c r="E116" s="1" vm="336">
        <f ca="1"/>
        <v>437.75</v>
      </c>
      <c r="F116" s="2">
        <f t="shared" ca="1" si="3"/>
        <v>8.1063031112542649E-3</v>
      </c>
    </row>
    <row r="117" spans="1:6" x14ac:dyDescent="0.2">
      <c r="A117" s="1" vm="337">
        <f ca="1"/>
        <v>44620</v>
      </c>
      <c r="B117" s="1" vm="338">
        <f ca="1"/>
        <v>63.09</v>
      </c>
      <c r="C117" s="2">
        <f t="shared" ca="1" si="2"/>
        <v>-8.0186616124799492E-2</v>
      </c>
      <c r="D117" s="1" vm="337">
        <f ca="1"/>
        <v>44620</v>
      </c>
      <c r="E117" s="1" vm="339">
        <f ca="1"/>
        <v>432.17</v>
      </c>
      <c r="F117" s="2">
        <f t="shared" ca="1" si="3"/>
        <v>-1.2747001713306672E-2</v>
      </c>
    </row>
    <row r="118" spans="1:6" x14ac:dyDescent="0.2">
      <c r="A118" s="1" vm="340">
        <f ca="1"/>
        <v>44627</v>
      </c>
      <c r="B118" s="1" vm="341">
        <f ca="1"/>
        <v>63.61</v>
      </c>
      <c r="C118" s="2">
        <f t="shared" ca="1" si="2"/>
        <v>8.2421936915517691E-3</v>
      </c>
      <c r="D118" s="1" vm="340">
        <f ca="1"/>
        <v>44627</v>
      </c>
      <c r="E118" s="1" vm="342">
        <f ca="1"/>
        <v>420.07</v>
      </c>
      <c r="F118" s="2">
        <f t="shared" ca="1" si="3"/>
        <v>-2.7998241432769522E-2</v>
      </c>
    </row>
    <row r="119" spans="1:6" x14ac:dyDescent="0.2">
      <c r="A119" s="1" vm="343">
        <f ca="1"/>
        <v>44634</v>
      </c>
      <c r="B119" s="1" vm="344">
        <f ca="1"/>
        <v>64.5</v>
      </c>
      <c r="C119" s="2">
        <f t="shared" ca="1" si="2"/>
        <v>1.3991510768747162E-2</v>
      </c>
      <c r="D119" s="1" vm="343">
        <f ca="1"/>
        <v>44634</v>
      </c>
      <c r="E119" s="1" vm="345">
        <f ca="1"/>
        <v>444.52</v>
      </c>
      <c r="F119" s="2">
        <f t="shared" ca="1" si="3"/>
        <v>5.8204584950127369E-2</v>
      </c>
    </row>
    <row r="120" spans="1:6" x14ac:dyDescent="0.2">
      <c r="A120" s="1" vm="346">
        <f ca="1"/>
        <v>44641</v>
      </c>
      <c r="B120" s="1" vm="347">
        <f ca="1"/>
        <v>65.16</v>
      </c>
      <c r="C120" s="2">
        <f t="shared" ca="1" si="2"/>
        <v>1.0232558139534831E-2</v>
      </c>
      <c r="D120" s="1" vm="346">
        <f ca="1"/>
        <v>44641</v>
      </c>
      <c r="E120" s="1" vm="348">
        <f ca="1"/>
        <v>452.69</v>
      </c>
      <c r="F120" s="2">
        <f t="shared" ca="1" si="3"/>
        <v>1.8379375506164086E-2</v>
      </c>
    </row>
    <row r="121" spans="1:6" x14ac:dyDescent="0.2">
      <c r="A121" s="1" vm="349">
        <f ca="1"/>
        <v>44648</v>
      </c>
      <c r="B121" s="1" vm="350">
        <f ca="1"/>
        <v>64.91</v>
      </c>
      <c r="C121" s="2">
        <f t="shared" ca="1" si="2"/>
        <v>-3.8367096378145726E-3</v>
      </c>
      <c r="D121" s="1" vm="349">
        <f ca="1"/>
        <v>44648</v>
      </c>
      <c r="E121" s="1" vm="351">
        <f ca="1"/>
        <v>452.92</v>
      </c>
      <c r="F121" s="2">
        <f t="shared" ca="1" si="3"/>
        <v>5.0807395789620458E-4</v>
      </c>
    </row>
    <row r="122" spans="1:6" x14ac:dyDescent="0.2">
      <c r="A122" s="1" vm="352">
        <f ca="1"/>
        <v>44655</v>
      </c>
      <c r="B122" s="1" vm="353">
        <f ca="1"/>
        <v>62.38</v>
      </c>
      <c r="C122" s="2">
        <f t="shared" ca="1" si="2"/>
        <v>-3.8977045139423683E-2</v>
      </c>
      <c r="D122" s="1" vm="352">
        <f ca="1"/>
        <v>44655</v>
      </c>
      <c r="E122" s="1" vm="354">
        <f ca="1"/>
        <v>447.57</v>
      </c>
      <c r="F122" s="2">
        <f t="shared" ca="1" si="3"/>
        <v>-1.1812240572286581E-2</v>
      </c>
    </row>
    <row r="123" spans="1:6" x14ac:dyDescent="0.2">
      <c r="A123" s="1" vm="355">
        <f ca="1"/>
        <v>44662</v>
      </c>
      <c r="B123" s="1" vm="356">
        <f ca="1"/>
        <v>62.35</v>
      </c>
      <c r="C123" s="2">
        <f t="shared" ca="1" si="2"/>
        <v>-4.8092337287597431E-4</v>
      </c>
      <c r="D123" s="1" vm="355">
        <f ca="1"/>
        <v>44662</v>
      </c>
      <c r="E123" s="1" vm="357">
        <f ca="1"/>
        <v>437.79</v>
      </c>
      <c r="F123" s="2">
        <f t="shared" ca="1" si="3"/>
        <v>-2.1851330518131151E-2</v>
      </c>
    </row>
    <row r="124" spans="1:6" x14ac:dyDescent="0.2">
      <c r="A124" s="1" vm="358">
        <f ca="1"/>
        <v>44669</v>
      </c>
      <c r="B124" s="1" vm="359">
        <f ca="1"/>
        <v>61.2</v>
      </c>
      <c r="C124" s="2">
        <f t="shared" ca="1" si="2"/>
        <v>-1.844426623897355E-2</v>
      </c>
      <c r="D124" s="1" vm="358">
        <f ca="1"/>
        <v>44669</v>
      </c>
      <c r="E124" s="1" vm="360">
        <f ca="1"/>
        <v>426.04</v>
      </c>
      <c r="F124" s="2">
        <f t="shared" ca="1" si="3"/>
        <v>-2.6839352200826894E-2</v>
      </c>
    </row>
    <row r="125" spans="1:6" x14ac:dyDescent="0.2">
      <c r="A125" s="1" vm="361">
        <f ca="1"/>
        <v>44676</v>
      </c>
      <c r="B125" s="1" vm="362">
        <f ca="1"/>
        <v>59.9</v>
      </c>
      <c r="C125" s="2">
        <f t="shared" ca="1" si="2"/>
        <v>-2.1241830065359513E-2</v>
      </c>
      <c r="D125" s="1" vm="361">
        <f ca="1"/>
        <v>44676</v>
      </c>
      <c r="E125" s="1" vm="363">
        <f ca="1"/>
        <v>412</v>
      </c>
      <c r="F125" s="2">
        <f t="shared" ca="1" si="3"/>
        <v>-3.2954652145338548E-2</v>
      </c>
    </row>
    <row r="126" spans="1:6" x14ac:dyDescent="0.2">
      <c r="A126" s="1" vm="364">
        <f ca="1"/>
        <v>44683</v>
      </c>
      <c r="B126" s="1" vm="365">
        <f ca="1"/>
        <v>67.69</v>
      </c>
      <c r="C126" s="2">
        <f t="shared" ca="1" si="2"/>
        <v>0.13005008347245406</v>
      </c>
      <c r="D126" s="1" vm="364">
        <f ca="1"/>
        <v>44683</v>
      </c>
      <c r="E126" s="1" vm="366">
        <f ca="1"/>
        <v>411.34</v>
      </c>
      <c r="F126" s="2">
        <f t="shared" ca="1" si="3"/>
        <v>-1.6019417475728881E-3</v>
      </c>
    </row>
    <row r="127" spans="1:6" x14ac:dyDescent="0.2">
      <c r="A127" s="1" vm="367">
        <f ca="1"/>
        <v>44690</v>
      </c>
      <c r="B127" s="1" vm="368">
        <f ca="1"/>
        <v>65.790000000000006</v>
      </c>
      <c r="C127" s="2">
        <f t="shared" ca="1" si="2"/>
        <v>-2.8069138720638098E-2</v>
      </c>
      <c r="D127" s="1" vm="367">
        <f ca="1"/>
        <v>44690</v>
      </c>
      <c r="E127" s="1" vm="369">
        <f ca="1"/>
        <v>401.72</v>
      </c>
      <c r="F127" s="2">
        <f t="shared" ca="1" si="3"/>
        <v>-2.3386979141342801E-2</v>
      </c>
    </row>
    <row r="128" spans="1:6" x14ac:dyDescent="0.2">
      <c r="A128" s="1" vm="370">
        <f ca="1"/>
        <v>44697</v>
      </c>
      <c r="B128" s="1" vm="371">
        <f ca="1"/>
        <v>67.569999999999993</v>
      </c>
      <c r="C128" s="2">
        <f t="shared" ca="1" si="2"/>
        <v>2.7055783553731283E-2</v>
      </c>
      <c r="D128" s="1" vm="370">
        <f ca="1"/>
        <v>44697</v>
      </c>
      <c r="E128" s="1" vm="372">
        <f ca="1"/>
        <v>389.63</v>
      </c>
      <c r="F128" s="2">
        <f t="shared" ca="1" si="3"/>
        <v>-3.0095588967440134E-2</v>
      </c>
    </row>
    <row r="129" spans="1:6" x14ac:dyDescent="0.2">
      <c r="A129" s="1" vm="373">
        <f ca="1"/>
        <v>44704</v>
      </c>
      <c r="B129" s="1" vm="374">
        <f ca="1"/>
        <v>70.25</v>
      </c>
      <c r="C129" s="2">
        <f t="shared" ca="1" si="2"/>
        <v>3.9662572147402875E-2</v>
      </c>
      <c r="D129" s="1" vm="373">
        <f ca="1"/>
        <v>44704</v>
      </c>
      <c r="E129" s="1" vm="375">
        <f ca="1"/>
        <v>415.26</v>
      </c>
      <c r="F129" s="2">
        <f t="shared" ca="1" si="3"/>
        <v>6.5780355722095285E-2</v>
      </c>
    </row>
    <row r="130" spans="1:6" x14ac:dyDescent="0.2">
      <c r="A130" s="1" vm="376">
        <f ca="1"/>
        <v>44712</v>
      </c>
      <c r="B130" s="1" vm="377">
        <f ca="1"/>
        <v>72.38</v>
      </c>
      <c r="C130" s="2">
        <f t="shared" ca="1" si="2"/>
        <v>3.0320284697508804E-2</v>
      </c>
      <c r="D130" s="1" vm="376">
        <f ca="1"/>
        <v>44712</v>
      </c>
      <c r="E130" s="1" vm="378">
        <f ca="1"/>
        <v>410.54</v>
      </c>
      <c r="F130" s="2">
        <f t="shared" ca="1" si="3"/>
        <v>-1.1366372874825337E-2</v>
      </c>
    </row>
    <row r="131" spans="1:6" x14ac:dyDescent="0.2">
      <c r="A131" s="1" vm="379">
        <f ca="1"/>
        <v>44718</v>
      </c>
      <c r="B131" s="1" vm="380">
        <f ca="1"/>
        <v>70.55</v>
      </c>
      <c r="C131" s="2">
        <f t="shared" ca="1" si="2"/>
        <v>-2.5283227410886955E-2</v>
      </c>
      <c r="D131" s="1" vm="379">
        <f ca="1"/>
        <v>44718</v>
      </c>
      <c r="E131" s="1" vm="381">
        <f ca="1"/>
        <v>389.8</v>
      </c>
      <c r="F131" s="2">
        <f t="shared" ca="1" si="3"/>
        <v>-5.0518828859550835E-2</v>
      </c>
    </row>
    <row r="132" spans="1:6" x14ac:dyDescent="0.2">
      <c r="A132" s="1" vm="382">
        <f ca="1"/>
        <v>44725</v>
      </c>
      <c r="B132" s="1" vm="383">
        <f ca="1"/>
        <v>61.4</v>
      </c>
      <c r="C132" s="2">
        <f t="shared" ca="1" si="2"/>
        <v>-0.1296952515946137</v>
      </c>
      <c r="D132" s="1" vm="382">
        <f ca="1"/>
        <v>44725</v>
      </c>
      <c r="E132" s="1" vm="384">
        <f ca="1"/>
        <v>365.86</v>
      </c>
      <c r="F132" s="2">
        <f t="shared" ca="1" si="3"/>
        <v>-6.1416110826064685E-2</v>
      </c>
    </row>
    <row r="133" spans="1:6" x14ac:dyDescent="0.2">
      <c r="A133" s="1" vm="385">
        <f ca="1"/>
        <v>44733</v>
      </c>
      <c r="B133" s="1" vm="386">
        <f ca="1"/>
        <v>64.040000000000006</v>
      </c>
      <c r="C133" s="2">
        <f t="shared" ca="1" si="2"/>
        <v>4.2996742671009835E-2</v>
      </c>
      <c r="D133" s="1" vm="385">
        <f ca="1"/>
        <v>44733</v>
      </c>
      <c r="E133" s="1" vm="387">
        <f ca="1"/>
        <v>390.08</v>
      </c>
      <c r="F133" s="2">
        <f t="shared" ca="1" si="3"/>
        <v>6.6200185863444894E-2</v>
      </c>
    </row>
    <row r="134" spans="1:6" x14ac:dyDescent="0.2">
      <c r="A134" s="1" vm="388">
        <f ca="1"/>
        <v>44739</v>
      </c>
      <c r="B134" s="1" vm="389">
        <f ca="1"/>
        <v>63.47</v>
      </c>
      <c r="C134" s="2">
        <f t="shared" ref="C134:C197" ca="1" si="4">(B134/B133)-1</f>
        <v>-8.9006870705810037E-3</v>
      </c>
      <c r="D134" s="1" vm="388">
        <f ca="1"/>
        <v>44739</v>
      </c>
      <c r="E134" s="1" vm="390">
        <f ca="1"/>
        <v>381.24</v>
      </c>
      <c r="F134" s="2">
        <f t="shared" ref="F134:F197" ca="1" si="5">(E134/E133)-1</f>
        <v>-2.2662018047579946E-2</v>
      </c>
    </row>
    <row r="135" spans="1:6" x14ac:dyDescent="0.2">
      <c r="A135" s="1" vm="391">
        <f ca="1"/>
        <v>44747</v>
      </c>
      <c r="B135" s="1" vm="392">
        <f ca="1"/>
        <v>63.69</v>
      </c>
      <c r="C135" s="2">
        <f t="shared" ca="1" si="4"/>
        <v>3.4662045060658286E-3</v>
      </c>
      <c r="D135" s="1" vm="391">
        <f ca="1"/>
        <v>44747</v>
      </c>
      <c r="E135" s="1" vm="393">
        <f ca="1"/>
        <v>388.67</v>
      </c>
      <c r="F135" s="2">
        <f t="shared" ca="1" si="5"/>
        <v>1.9489035777987551E-2</v>
      </c>
    </row>
    <row r="136" spans="1:6" x14ac:dyDescent="0.2">
      <c r="A136" s="1" vm="394">
        <f ca="1"/>
        <v>44753</v>
      </c>
      <c r="B136" s="1" vm="395">
        <f ca="1"/>
        <v>61.78</v>
      </c>
      <c r="C136" s="2">
        <f t="shared" ca="1" si="4"/>
        <v>-2.9989009263620581E-2</v>
      </c>
      <c r="D136" s="1" vm="394">
        <f ca="1"/>
        <v>44753</v>
      </c>
      <c r="E136" s="1" vm="396">
        <f ca="1"/>
        <v>385.13</v>
      </c>
      <c r="F136" s="2">
        <f t="shared" ca="1" si="5"/>
        <v>-9.1079836365040023E-3</v>
      </c>
    </row>
    <row r="137" spans="1:6" x14ac:dyDescent="0.2">
      <c r="A137" s="1" vm="397">
        <f ca="1"/>
        <v>44760</v>
      </c>
      <c r="B137" s="1" vm="398">
        <f ca="1"/>
        <v>63.24</v>
      </c>
      <c r="C137" s="2">
        <f t="shared" ca="1" si="4"/>
        <v>2.363224344448045E-2</v>
      </c>
      <c r="D137" s="1" vm="397">
        <f ca="1"/>
        <v>44760</v>
      </c>
      <c r="E137" s="1" vm="399">
        <f ca="1"/>
        <v>395.09</v>
      </c>
      <c r="F137" s="2">
        <f t="shared" ca="1" si="5"/>
        <v>2.5861397450211543E-2</v>
      </c>
    </row>
    <row r="138" spans="1:6" x14ac:dyDescent="0.2">
      <c r="A138" s="1" vm="400">
        <f ca="1"/>
        <v>44767</v>
      </c>
      <c r="B138" s="1" vm="401">
        <f ca="1"/>
        <v>67.099999999999994</v>
      </c>
      <c r="C138" s="2">
        <f t="shared" ca="1" si="4"/>
        <v>6.1037318153067455E-2</v>
      </c>
      <c r="D138" s="1" vm="400">
        <f ca="1"/>
        <v>44767</v>
      </c>
      <c r="E138" s="1" vm="402">
        <f ca="1"/>
        <v>411.99</v>
      </c>
      <c r="F138" s="2">
        <f t="shared" ca="1" si="5"/>
        <v>4.2775063909489042E-2</v>
      </c>
    </row>
    <row r="139" spans="1:6" x14ac:dyDescent="0.2">
      <c r="A139" s="1" vm="403">
        <f ca="1"/>
        <v>44774</v>
      </c>
      <c r="B139" s="1" vm="404">
        <f ca="1"/>
        <v>68.72</v>
      </c>
      <c r="C139" s="2">
        <f t="shared" ca="1" si="4"/>
        <v>2.4143070044709392E-2</v>
      </c>
      <c r="D139" s="1" vm="403">
        <f ca="1"/>
        <v>44774</v>
      </c>
      <c r="E139" s="1" vm="405">
        <f ca="1"/>
        <v>413.47</v>
      </c>
      <c r="F139" s="2">
        <f t="shared" ca="1" si="5"/>
        <v>3.5923202019467748E-3</v>
      </c>
    </row>
    <row r="140" spans="1:6" x14ac:dyDescent="0.2">
      <c r="A140" s="1" vm="406">
        <f ca="1"/>
        <v>44781</v>
      </c>
      <c r="B140" s="1" vm="407">
        <f ca="1"/>
        <v>75.11</v>
      </c>
      <c r="C140" s="2">
        <f t="shared" ca="1" si="4"/>
        <v>9.2986030267753206E-2</v>
      </c>
      <c r="D140" s="1" vm="406">
        <f ca="1"/>
        <v>44781</v>
      </c>
      <c r="E140" s="1" vm="408">
        <f ca="1"/>
        <v>427.1</v>
      </c>
      <c r="F140" s="2">
        <f t="shared" ca="1" si="5"/>
        <v>3.2964906764698654E-2</v>
      </c>
    </row>
    <row r="141" spans="1:6" x14ac:dyDescent="0.2">
      <c r="A141" s="1" vm="409">
        <f ca="1"/>
        <v>44788</v>
      </c>
      <c r="B141" s="1" vm="410">
        <f ca="1"/>
        <v>73.03</v>
      </c>
      <c r="C141" s="2">
        <f t="shared" ca="1" si="4"/>
        <v>-2.7692717347889695E-2</v>
      </c>
      <c r="D141" s="1" vm="409">
        <f ca="1"/>
        <v>44788</v>
      </c>
      <c r="E141" s="1" vm="411">
        <f ca="1"/>
        <v>422.14</v>
      </c>
      <c r="F141" s="2">
        <f t="shared" ca="1" si="5"/>
        <v>-1.1613205338328325E-2</v>
      </c>
    </row>
    <row r="142" spans="1:6" x14ac:dyDescent="0.2">
      <c r="A142" s="1" vm="412">
        <f ca="1"/>
        <v>44795</v>
      </c>
      <c r="B142" s="1" vm="413">
        <f ca="1"/>
        <v>72.040000000000006</v>
      </c>
      <c r="C142" s="2">
        <f t="shared" ca="1" si="4"/>
        <v>-1.355607284677518E-2</v>
      </c>
      <c r="D142" s="1" vm="412">
        <f ca="1"/>
        <v>44795</v>
      </c>
      <c r="E142" s="1" vm="414">
        <f ca="1"/>
        <v>405.31</v>
      </c>
      <c r="F142" s="2">
        <f t="shared" ca="1" si="5"/>
        <v>-3.9868290140711582E-2</v>
      </c>
    </row>
    <row r="143" spans="1:6" x14ac:dyDescent="0.2">
      <c r="A143" s="1" vm="415">
        <f ca="1"/>
        <v>44802</v>
      </c>
      <c r="B143" s="1" vm="416">
        <f ca="1"/>
        <v>69.41</v>
      </c>
      <c r="C143" s="2">
        <f t="shared" ca="1" si="4"/>
        <v>-3.6507495835646941E-2</v>
      </c>
      <c r="D143" s="1" vm="415">
        <f ca="1"/>
        <v>44802</v>
      </c>
      <c r="E143" s="1" vm="417">
        <f ca="1"/>
        <v>392.24</v>
      </c>
      <c r="F143" s="2">
        <f t="shared" ca="1" si="5"/>
        <v>-3.2246922109002929E-2</v>
      </c>
    </row>
    <row r="144" spans="1:6" x14ac:dyDescent="0.2">
      <c r="A144" s="1" vm="418">
        <f ca="1"/>
        <v>44810</v>
      </c>
      <c r="B144" s="1" vm="419">
        <f ca="1"/>
        <v>70.31</v>
      </c>
      <c r="C144" s="2">
        <f t="shared" ca="1" si="4"/>
        <v>1.296643134994957E-2</v>
      </c>
      <c r="D144" s="1" vm="418">
        <f ca="1"/>
        <v>44810</v>
      </c>
      <c r="E144" s="1" vm="420">
        <f ca="1"/>
        <v>406.6</v>
      </c>
      <c r="F144" s="2">
        <f t="shared" ca="1" si="5"/>
        <v>3.6610238629410707E-2</v>
      </c>
    </row>
    <row r="145" spans="1:6" x14ac:dyDescent="0.2">
      <c r="A145" s="1" vm="421">
        <f ca="1"/>
        <v>44816</v>
      </c>
      <c r="B145" s="1" vm="386">
        <f ca="1"/>
        <v>64.040000000000006</v>
      </c>
      <c r="C145" s="2">
        <f t="shared" ca="1" si="4"/>
        <v>-8.9176504053477434E-2</v>
      </c>
      <c r="D145" s="1" vm="421">
        <f ca="1"/>
        <v>44816</v>
      </c>
      <c r="E145" s="1" vm="422">
        <f ca="1"/>
        <v>385.56</v>
      </c>
      <c r="F145" s="2">
        <f t="shared" ca="1" si="5"/>
        <v>-5.1746187899655682E-2</v>
      </c>
    </row>
    <row r="146" spans="1:6" x14ac:dyDescent="0.2">
      <c r="A146" s="1" vm="423">
        <f ca="1"/>
        <v>44823</v>
      </c>
      <c r="B146" s="1" vm="424">
        <f ca="1"/>
        <v>61.36</v>
      </c>
      <c r="C146" s="2">
        <f t="shared" ca="1" si="4"/>
        <v>-4.1848844472204938E-2</v>
      </c>
      <c r="D146" s="1" vm="423">
        <f ca="1"/>
        <v>44823</v>
      </c>
      <c r="E146" s="1" vm="425">
        <f ca="1"/>
        <v>367.95</v>
      </c>
      <c r="F146" s="2">
        <f t="shared" ca="1" si="5"/>
        <v>-4.5673825085589814E-2</v>
      </c>
    </row>
    <row r="147" spans="1:6" x14ac:dyDescent="0.2">
      <c r="A147" s="1" vm="426">
        <f ca="1"/>
        <v>44830</v>
      </c>
      <c r="B147" s="1" vm="427">
        <f ca="1"/>
        <v>60.63</v>
      </c>
      <c r="C147" s="2">
        <f t="shared" ca="1" si="4"/>
        <v>-1.1897001303780907E-2</v>
      </c>
      <c r="D147" s="1" vm="426">
        <f ca="1"/>
        <v>44830</v>
      </c>
      <c r="E147" s="1" vm="428">
        <f ca="1"/>
        <v>357.18</v>
      </c>
      <c r="F147" s="2">
        <f t="shared" ca="1" si="5"/>
        <v>-2.9270281288218514E-2</v>
      </c>
    </row>
    <row r="148" spans="1:6" x14ac:dyDescent="0.2">
      <c r="A148" s="1" vm="429">
        <f ca="1"/>
        <v>44837</v>
      </c>
      <c r="B148" s="1" vm="430">
        <f ca="1"/>
        <v>62.06</v>
      </c>
      <c r="C148" s="2">
        <f t="shared" ca="1" si="4"/>
        <v>2.3585683654956391E-2</v>
      </c>
      <c r="D148" s="1" vm="429">
        <f ca="1"/>
        <v>44837</v>
      </c>
      <c r="E148" s="1" vm="431">
        <f ca="1"/>
        <v>362.79</v>
      </c>
      <c r="F148" s="2">
        <f t="shared" ca="1" si="5"/>
        <v>1.5706366537880045E-2</v>
      </c>
    </row>
    <row r="149" spans="1:6" x14ac:dyDescent="0.2">
      <c r="A149" s="1" vm="432">
        <f ca="1"/>
        <v>44844</v>
      </c>
      <c r="B149" s="1" vm="433">
        <f ca="1"/>
        <v>61.39</v>
      </c>
      <c r="C149" s="2">
        <f t="shared" ca="1" si="4"/>
        <v>-1.0796003867225346E-2</v>
      </c>
      <c r="D149" s="1" vm="432">
        <f ca="1"/>
        <v>44844</v>
      </c>
      <c r="E149" s="1" vm="434">
        <f ca="1"/>
        <v>357.63</v>
      </c>
      <c r="F149" s="2">
        <f t="shared" ca="1" si="5"/>
        <v>-1.4223104275200571E-2</v>
      </c>
    </row>
    <row r="150" spans="1:6" x14ac:dyDescent="0.2">
      <c r="A150" s="1" vm="435">
        <f ca="1"/>
        <v>44851</v>
      </c>
      <c r="B150" s="1" vm="436">
        <f ca="1"/>
        <v>64.75</v>
      </c>
      <c r="C150" s="2">
        <f t="shared" ca="1" si="4"/>
        <v>5.4732041049030844E-2</v>
      </c>
      <c r="D150" s="1" vm="435">
        <f ca="1"/>
        <v>44851</v>
      </c>
      <c r="E150" s="1" vm="437">
        <f ca="1"/>
        <v>374.29</v>
      </c>
      <c r="F150" s="2">
        <f t="shared" ca="1" si="5"/>
        <v>4.6584458798199391E-2</v>
      </c>
    </row>
    <row r="151" spans="1:6" x14ac:dyDescent="0.2">
      <c r="A151" s="1" vm="438">
        <f ca="1"/>
        <v>44858</v>
      </c>
      <c r="B151" s="1" vm="439">
        <f ca="1"/>
        <v>66.260000000000005</v>
      </c>
      <c r="C151" s="2">
        <f t="shared" ca="1" si="4"/>
        <v>2.3320463320463336E-2</v>
      </c>
      <c r="D151" s="1" vm="438">
        <f ca="1"/>
        <v>44858</v>
      </c>
      <c r="E151" s="1" vm="440">
        <f ca="1"/>
        <v>389.02</v>
      </c>
      <c r="F151" s="2">
        <f t="shared" ca="1" si="5"/>
        <v>3.93545112078868E-2</v>
      </c>
    </row>
    <row r="152" spans="1:6" x14ac:dyDescent="0.2">
      <c r="A152" s="1" vm="441">
        <f ca="1"/>
        <v>44865</v>
      </c>
      <c r="B152" s="1" vm="442">
        <f ca="1"/>
        <v>74.36</v>
      </c>
      <c r="C152" s="2">
        <f t="shared" ca="1" si="4"/>
        <v>0.12224569876245095</v>
      </c>
      <c r="D152" s="1" vm="441">
        <f ca="1"/>
        <v>44865</v>
      </c>
      <c r="E152" s="1" vm="443">
        <f ca="1"/>
        <v>376.35</v>
      </c>
      <c r="F152" s="2">
        <f t="shared" ca="1" si="5"/>
        <v>-3.2569019587681769E-2</v>
      </c>
    </row>
    <row r="153" spans="1:6" x14ac:dyDescent="0.2">
      <c r="A153" s="1" vm="444">
        <f ca="1"/>
        <v>44872</v>
      </c>
      <c r="B153" s="1" vm="445">
        <f ca="1"/>
        <v>78.69</v>
      </c>
      <c r="C153" s="2">
        <f t="shared" ca="1" si="4"/>
        <v>5.8230231307154323E-2</v>
      </c>
      <c r="D153" s="1" vm="444">
        <f ca="1"/>
        <v>44872</v>
      </c>
      <c r="E153" s="1" vm="446">
        <f ca="1"/>
        <v>398.51</v>
      </c>
      <c r="F153" s="2">
        <f t="shared" ca="1" si="5"/>
        <v>5.8881360435764529E-2</v>
      </c>
    </row>
    <row r="154" spans="1:6" x14ac:dyDescent="0.2">
      <c r="A154" s="1" vm="447">
        <f ca="1"/>
        <v>44879</v>
      </c>
      <c r="B154" s="1" vm="448">
        <f ca="1"/>
        <v>77</v>
      </c>
      <c r="C154" s="2">
        <f t="shared" ca="1" si="4"/>
        <v>-2.1476680645571178E-2</v>
      </c>
      <c r="D154" s="1" vm="447">
        <f ca="1"/>
        <v>44879</v>
      </c>
      <c r="E154" s="1" vm="449">
        <f ca="1"/>
        <v>396.03</v>
      </c>
      <c r="F154" s="2">
        <f t="shared" ca="1" si="5"/>
        <v>-6.2231813505307931E-3</v>
      </c>
    </row>
    <row r="155" spans="1:6" x14ac:dyDescent="0.2">
      <c r="A155" s="1" vm="450">
        <f ca="1"/>
        <v>44886</v>
      </c>
      <c r="B155" s="1" vm="451">
        <f ca="1"/>
        <v>78.400000000000006</v>
      </c>
      <c r="C155" s="2">
        <f t="shared" ca="1" si="4"/>
        <v>1.8181818181818299E-2</v>
      </c>
      <c r="D155" s="1" vm="450">
        <f ca="1"/>
        <v>44886</v>
      </c>
      <c r="E155" s="1" vm="452">
        <f ca="1"/>
        <v>402.33</v>
      </c>
      <c r="F155" s="2">
        <f t="shared" ca="1" si="5"/>
        <v>1.5907885766229812E-2</v>
      </c>
    </row>
    <row r="156" spans="1:6" x14ac:dyDescent="0.2">
      <c r="A156" s="1" vm="453">
        <f ca="1"/>
        <v>44893</v>
      </c>
      <c r="B156" s="1" vm="255">
        <f ca="1"/>
        <v>77.569999999999993</v>
      </c>
      <c r="C156" s="2">
        <f t="shared" ca="1" si="4"/>
        <v>-1.058673469387772E-2</v>
      </c>
      <c r="D156" s="1" vm="453">
        <f ca="1"/>
        <v>44893</v>
      </c>
      <c r="E156" s="1" vm="454">
        <f ca="1"/>
        <v>406.91</v>
      </c>
      <c r="F156" s="2">
        <f t="shared" ca="1" si="5"/>
        <v>1.1383690005716707E-2</v>
      </c>
    </row>
    <row r="157" spans="1:6" x14ac:dyDescent="0.2">
      <c r="A157" s="1" vm="455">
        <f ca="1"/>
        <v>44900</v>
      </c>
      <c r="B157" s="1" vm="456">
        <f ca="1"/>
        <v>71.959999999999994</v>
      </c>
      <c r="C157" s="2">
        <f t="shared" ca="1" si="4"/>
        <v>-7.2321773881655282E-2</v>
      </c>
      <c r="D157" s="1" vm="455">
        <f ca="1"/>
        <v>44900</v>
      </c>
      <c r="E157" s="1" vm="457">
        <f ca="1"/>
        <v>393.28</v>
      </c>
      <c r="F157" s="2">
        <f t="shared" ca="1" si="5"/>
        <v>-3.349635054434652E-2</v>
      </c>
    </row>
    <row r="158" spans="1:6" x14ac:dyDescent="0.2">
      <c r="A158" s="1" vm="458">
        <f ca="1"/>
        <v>44907</v>
      </c>
      <c r="B158" s="1" vm="459">
        <f ca="1"/>
        <v>69.45</v>
      </c>
      <c r="C158" s="2">
        <f t="shared" ca="1" si="4"/>
        <v>-3.4880489160644679E-2</v>
      </c>
      <c r="D158" s="1" vm="458">
        <f ca="1"/>
        <v>44907</v>
      </c>
      <c r="E158" s="1" vm="460">
        <f ca="1"/>
        <v>383.27</v>
      </c>
      <c r="F158" s="2">
        <f t="shared" ca="1" si="5"/>
        <v>-2.5452603742880386E-2</v>
      </c>
    </row>
    <row r="159" spans="1:6" x14ac:dyDescent="0.2">
      <c r="A159" s="1" vm="461">
        <f ca="1"/>
        <v>44914</v>
      </c>
      <c r="B159" s="1" vm="462">
        <f ca="1"/>
        <v>70.599999999999994</v>
      </c>
      <c r="C159" s="2">
        <f t="shared" ca="1" si="4"/>
        <v>1.6558675305975434E-2</v>
      </c>
      <c r="D159" s="1" vm="461">
        <f ca="1"/>
        <v>44914</v>
      </c>
      <c r="E159" s="1" vm="463">
        <f ca="1"/>
        <v>382.91</v>
      </c>
      <c r="F159" s="2">
        <f t="shared" ca="1" si="5"/>
        <v>-9.3928562110245917E-4</v>
      </c>
    </row>
    <row r="160" spans="1:6" x14ac:dyDescent="0.2">
      <c r="A160" s="1" vm="464">
        <f ca="1"/>
        <v>44922</v>
      </c>
      <c r="B160" s="1" vm="465">
        <f ca="1"/>
        <v>70.44</v>
      </c>
      <c r="C160" s="2">
        <f t="shared" ca="1" si="4"/>
        <v>-2.2662889518413332E-3</v>
      </c>
      <c r="D160" s="1" vm="464">
        <f ca="1"/>
        <v>44922</v>
      </c>
      <c r="E160" s="1" vm="466">
        <f ca="1"/>
        <v>382.43</v>
      </c>
      <c r="F160" s="2">
        <f t="shared" ca="1" si="5"/>
        <v>-1.2535582774020337E-3</v>
      </c>
    </row>
    <row r="161" spans="1:6" x14ac:dyDescent="0.2">
      <c r="A161" s="1" vm="467">
        <f ca="1"/>
        <v>44929</v>
      </c>
      <c r="B161" s="1" vm="468">
        <f ca="1"/>
        <v>74.14</v>
      </c>
      <c r="C161" s="2">
        <f t="shared" ca="1" si="4"/>
        <v>5.2526973310619063E-2</v>
      </c>
      <c r="D161" s="1" vm="467">
        <f ca="1"/>
        <v>44929</v>
      </c>
      <c r="E161" s="1" vm="469">
        <f ca="1"/>
        <v>388.08</v>
      </c>
      <c r="F161" s="2">
        <f t="shared" ca="1" si="5"/>
        <v>1.4773945558664181E-2</v>
      </c>
    </row>
    <row r="162" spans="1:6" x14ac:dyDescent="0.2">
      <c r="A162" s="1" vm="470">
        <f ca="1"/>
        <v>44935</v>
      </c>
      <c r="B162" s="1" vm="471">
        <f ca="1"/>
        <v>81.64</v>
      </c>
      <c r="C162" s="2">
        <f t="shared" ca="1" si="4"/>
        <v>0.10115996762881041</v>
      </c>
      <c r="D162" s="1" vm="470">
        <f ca="1"/>
        <v>44935</v>
      </c>
      <c r="E162" s="1" vm="472">
        <f ca="1"/>
        <v>398.5</v>
      </c>
      <c r="F162" s="2">
        <f t="shared" ca="1" si="5"/>
        <v>2.6850133992991188E-2</v>
      </c>
    </row>
    <row r="163" spans="1:6" x14ac:dyDescent="0.2">
      <c r="A163" s="1" vm="473">
        <f ca="1"/>
        <v>44943</v>
      </c>
      <c r="B163" s="1" vm="474">
        <f ca="1"/>
        <v>80.489999999999995</v>
      </c>
      <c r="C163" s="2">
        <f t="shared" ca="1" si="4"/>
        <v>-1.4086232239098551E-2</v>
      </c>
      <c r="D163" s="1" vm="473">
        <f ca="1"/>
        <v>44943</v>
      </c>
      <c r="E163" s="1" vm="475">
        <f ca="1"/>
        <v>395.88</v>
      </c>
      <c r="F163" s="2">
        <f t="shared" ca="1" si="5"/>
        <v>-6.5746549560853351E-3</v>
      </c>
    </row>
    <row r="164" spans="1:6" x14ac:dyDescent="0.2">
      <c r="A164" s="1" vm="476">
        <f ca="1"/>
        <v>44949</v>
      </c>
      <c r="B164" s="1" vm="477">
        <f ca="1"/>
        <v>80.39</v>
      </c>
      <c r="C164" s="2">
        <f t="shared" ca="1" si="4"/>
        <v>-1.2423903590507157E-3</v>
      </c>
      <c r="D164" s="1" vm="476">
        <f ca="1"/>
        <v>44949</v>
      </c>
      <c r="E164" s="1" vm="478">
        <f ca="1"/>
        <v>405.68</v>
      </c>
      <c r="F164" s="2">
        <f t="shared" ca="1" si="5"/>
        <v>2.4754976255430883E-2</v>
      </c>
    </row>
    <row r="165" spans="1:6" x14ac:dyDescent="0.2">
      <c r="A165" s="1" vm="479">
        <f ca="1"/>
        <v>44956</v>
      </c>
      <c r="B165" s="1" vm="480">
        <f ca="1"/>
        <v>86.93</v>
      </c>
      <c r="C165" s="2">
        <f t="shared" ca="1" si="4"/>
        <v>8.1353402164448418E-2</v>
      </c>
      <c r="D165" s="1" vm="479">
        <f ca="1"/>
        <v>44956</v>
      </c>
      <c r="E165" s="1" vm="481">
        <f ca="1"/>
        <v>412.35</v>
      </c>
      <c r="F165" s="2">
        <f t="shared" ca="1" si="5"/>
        <v>1.6441530270163707E-2</v>
      </c>
    </row>
    <row r="166" spans="1:6" x14ac:dyDescent="0.2">
      <c r="A166" s="1" vm="482">
        <f ca="1"/>
        <v>44963</v>
      </c>
      <c r="B166" s="1" vm="483">
        <f ca="1"/>
        <v>87.81</v>
      </c>
      <c r="C166" s="2">
        <f t="shared" ca="1" si="4"/>
        <v>1.0123087541700215E-2</v>
      </c>
      <c r="D166" s="1" vm="482">
        <f ca="1"/>
        <v>44963</v>
      </c>
      <c r="E166" s="1" vm="484">
        <f ca="1"/>
        <v>408.04</v>
      </c>
      <c r="F166" s="2">
        <f t="shared" ca="1" si="5"/>
        <v>-1.0452285679641071E-2</v>
      </c>
    </row>
    <row r="167" spans="1:6" x14ac:dyDescent="0.2">
      <c r="A167" s="1" vm="485">
        <f ca="1"/>
        <v>44970</v>
      </c>
      <c r="B167" s="1" vm="486">
        <f ca="1"/>
        <v>90.75</v>
      </c>
      <c r="C167" s="2">
        <f t="shared" ca="1" si="4"/>
        <v>3.348138025281866E-2</v>
      </c>
      <c r="D167" s="1" vm="485">
        <f ca="1"/>
        <v>44970</v>
      </c>
      <c r="E167" s="1" vm="487">
        <f ca="1"/>
        <v>407.26</v>
      </c>
      <c r="F167" s="2">
        <f t="shared" ca="1" si="5"/>
        <v>-1.911577296343614E-3</v>
      </c>
    </row>
    <row r="168" spans="1:6" x14ac:dyDescent="0.2">
      <c r="A168" s="1" vm="488">
        <f ca="1"/>
        <v>44978</v>
      </c>
      <c r="B168" s="1" vm="489">
        <f ca="1"/>
        <v>88.56</v>
      </c>
      <c r="C168" s="2">
        <f t="shared" ca="1" si="4"/>
        <v>-2.4132231404958682E-2</v>
      </c>
      <c r="D168" s="1" vm="488">
        <f ca="1"/>
        <v>44978</v>
      </c>
      <c r="E168" s="1" vm="490">
        <f ca="1"/>
        <v>396.38</v>
      </c>
      <c r="F168" s="2">
        <f t="shared" ca="1" si="5"/>
        <v>-2.6715120561803252E-2</v>
      </c>
    </row>
    <row r="169" spans="1:6" x14ac:dyDescent="0.2">
      <c r="A169" s="1" vm="491">
        <f ca="1"/>
        <v>44984</v>
      </c>
      <c r="B169" s="1" vm="492">
        <f ca="1"/>
        <v>81.69</v>
      </c>
      <c r="C169" s="2">
        <f t="shared" ca="1" si="4"/>
        <v>-7.7574525745257472E-2</v>
      </c>
      <c r="D169" s="1" vm="491">
        <f ca="1"/>
        <v>44984</v>
      </c>
      <c r="E169" s="1" vm="493">
        <f ca="1"/>
        <v>404.19</v>
      </c>
      <c r="F169" s="2">
        <f t="shared" ca="1" si="5"/>
        <v>1.9703315000756838E-2</v>
      </c>
    </row>
    <row r="170" spans="1:6" x14ac:dyDescent="0.2">
      <c r="A170" s="1" vm="494">
        <f ca="1"/>
        <v>44991</v>
      </c>
      <c r="B170" s="1" vm="495">
        <f ca="1"/>
        <v>71.42</v>
      </c>
      <c r="C170" s="2">
        <f t="shared" ca="1" si="4"/>
        <v>-0.12571918227445211</v>
      </c>
      <c r="D170" s="1" vm="494">
        <f ca="1"/>
        <v>44991</v>
      </c>
      <c r="E170" s="1" vm="496">
        <f ca="1"/>
        <v>385.91</v>
      </c>
      <c r="F170" s="2">
        <f t="shared" ca="1" si="5"/>
        <v>-4.5226254979093938E-2</v>
      </c>
    </row>
    <row r="171" spans="1:6" x14ac:dyDescent="0.2">
      <c r="A171" s="1" vm="497">
        <f ca="1"/>
        <v>44998</v>
      </c>
      <c r="B171" s="1" vm="498">
        <f ca="1"/>
        <v>68.89</v>
      </c>
      <c r="C171" s="2">
        <f t="shared" ca="1" si="4"/>
        <v>-3.5424250910109256E-2</v>
      </c>
      <c r="D171" s="1" vm="497">
        <f ca="1"/>
        <v>44998</v>
      </c>
      <c r="E171" s="1" vm="499">
        <f ca="1"/>
        <v>389.99</v>
      </c>
      <c r="F171" s="2">
        <f t="shared" ca="1" si="5"/>
        <v>1.0572413256976887E-2</v>
      </c>
    </row>
    <row r="172" spans="1:6" x14ac:dyDescent="0.2">
      <c r="A172" s="1" vm="500">
        <f ca="1"/>
        <v>45005</v>
      </c>
      <c r="B172" s="1" vm="501">
        <f ca="1"/>
        <v>69.09</v>
      </c>
      <c r="C172" s="2">
        <f t="shared" ca="1" si="4"/>
        <v>2.9031789809841335E-3</v>
      </c>
      <c r="D172" s="1" vm="500">
        <f ca="1"/>
        <v>45005</v>
      </c>
      <c r="E172" s="1" vm="502">
        <f ca="1"/>
        <v>395.75</v>
      </c>
      <c r="F172" s="2">
        <f t="shared" ca="1" si="5"/>
        <v>1.4769609477166101E-2</v>
      </c>
    </row>
    <row r="173" spans="1:6" x14ac:dyDescent="0.2">
      <c r="A173" s="1" vm="503">
        <f ca="1"/>
        <v>45012</v>
      </c>
      <c r="B173" s="1" vm="504">
        <f ca="1"/>
        <v>71.52</v>
      </c>
      <c r="C173" s="2">
        <f t="shared" ca="1" si="4"/>
        <v>3.5171515414676335E-2</v>
      </c>
      <c r="D173" s="1" vm="503">
        <f ca="1"/>
        <v>45012</v>
      </c>
      <c r="E173" s="1" vm="505">
        <f ca="1"/>
        <v>409.39</v>
      </c>
      <c r="F173" s="2">
        <f t="shared" ca="1" si="5"/>
        <v>3.44662034112444E-2</v>
      </c>
    </row>
    <row r="174" spans="1:6" x14ac:dyDescent="0.2">
      <c r="A174" s="1" vm="506">
        <f ca="1"/>
        <v>45019</v>
      </c>
      <c r="B174" s="1" vm="507">
        <f ca="1"/>
        <v>69.56</v>
      </c>
      <c r="C174" s="2">
        <f t="shared" ca="1" si="4"/>
        <v>-2.7404921700223572E-2</v>
      </c>
      <c r="D174" s="1" vm="506">
        <f ca="1"/>
        <v>45019</v>
      </c>
      <c r="E174" s="1" vm="508">
        <f ca="1"/>
        <v>409.19</v>
      </c>
      <c r="F174" s="2">
        <f t="shared" ca="1" si="5"/>
        <v>-4.8853171792173633E-4</v>
      </c>
    </row>
    <row r="175" spans="1:6" x14ac:dyDescent="0.2">
      <c r="A175" s="1" vm="509">
        <f ca="1"/>
        <v>45026</v>
      </c>
      <c r="B175" s="1" vm="510">
        <f ca="1"/>
        <v>72.72</v>
      </c>
      <c r="C175" s="2">
        <f t="shared" ca="1" si="4"/>
        <v>4.5428407130534643E-2</v>
      </c>
      <c r="D175" s="1" vm="509">
        <f ca="1"/>
        <v>45026</v>
      </c>
      <c r="E175" s="1" vm="511">
        <f ca="1"/>
        <v>412.46</v>
      </c>
      <c r="F175" s="2">
        <f t="shared" ca="1" si="5"/>
        <v>7.9913976392385067E-3</v>
      </c>
    </row>
    <row r="176" spans="1:6" x14ac:dyDescent="0.2">
      <c r="A176" s="1" vm="512">
        <f ca="1"/>
        <v>45033</v>
      </c>
      <c r="B176" s="1" vm="513">
        <f ca="1"/>
        <v>71.22</v>
      </c>
      <c r="C176" s="2">
        <f t="shared" ca="1" si="4"/>
        <v>-2.0627062706270682E-2</v>
      </c>
      <c r="D176" s="1" vm="512">
        <f ca="1"/>
        <v>45033</v>
      </c>
      <c r="E176" s="1" vm="514">
        <f ca="1"/>
        <v>412.2</v>
      </c>
      <c r="F176" s="2">
        <f t="shared" ca="1" si="5"/>
        <v>-6.303641565242879E-4</v>
      </c>
    </row>
    <row r="177" spans="1:6" x14ac:dyDescent="0.2">
      <c r="A177" s="1" vm="515">
        <f ca="1"/>
        <v>45040</v>
      </c>
      <c r="B177" s="1" vm="516">
        <f ca="1"/>
        <v>71.739999999999995</v>
      </c>
      <c r="C177" s="2">
        <f t="shared" ca="1" si="4"/>
        <v>7.3013198539735313E-3</v>
      </c>
      <c r="D177" s="1" vm="515">
        <f ca="1"/>
        <v>45040</v>
      </c>
      <c r="E177" s="1" vm="517">
        <f ca="1"/>
        <v>415.93</v>
      </c>
      <c r="F177" s="2">
        <f t="shared" ca="1" si="5"/>
        <v>9.049005337214977E-3</v>
      </c>
    </row>
    <row r="178" spans="1:6" x14ac:dyDescent="0.2">
      <c r="A178" s="1" vm="518">
        <f ca="1"/>
        <v>45047</v>
      </c>
      <c r="B178" s="1" vm="519">
        <f ca="1"/>
        <v>60.57</v>
      </c>
      <c r="C178" s="2">
        <f t="shared" ca="1" si="4"/>
        <v>-0.15570114301644822</v>
      </c>
      <c r="D178" s="1" vm="518">
        <f ca="1"/>
        <v>45047</v>
      </c>
      <c r="E178" s="1" vm="520">
        <f ca="1"/>
        <v>412.63</v>
      </c>
      <c r="F178" s="2">
        <f t="shared" ca="1" si="5"/>
        <v>-7.9340273603731859E-3</v>
      </c>
    </row>
    <row r="179" spans="1:6" x14ac:dyDescent="0.2">
      <c r="A179" s="1" vm="521">
        <f ca="1"/>
        <v>45054</v>
      </c>
      <c r="B179" s="1" vm="522">
        <f ca="1"/>
        <v>54.5</v>
      </c>
      <c r="C179" s="2">
        <f t="shared" ca="1" si="4"/>
        <v>-0.10021462770348355</v>
      </c>
      <c r="D179" s="1" vm="521">
        <f ca="1"/>
        <v>45054</v>
      </c>
      <c r="E179" s="1" vm="523">
        <f ca="1"/>
        <v>411.59</v>
      </c>
      <c r="F179" s="2">
        <f t="shared" ca="1" si="5"/>
        <v>-2.5204178077212758E-3</v>
      </c>
    </row>
    <row r="180" spans="1:6" x14ac:dyDescent="0.2">
      <c r="A180" s="1" vm="524">
        <f ca="1"/>
        <v>45061</v>
      </c>
      <c r="B180" s="1" vm="525">
        <f ca="1"/>
        <v>50.59</v>
      </c>
      <c r="C180" s="2">
        <f t="shared" ca="1" si="4"/>
        <v>-7.1743119266055033E-2</v>
      </c>
      <c r="D180" s="1" vm="524">
        <f ca="1"/>
        <v>45061</v>
      </c>
      <c r="E180" s="1" vm="526">
        <f ca="1"/>
        <v>418.62</v>
      </c>
      <c r="F180" s="2">
        <f t="shared" ca="1" si="5"/>
        <v>1.7080103986977457E-2</v>
      </c>
    </row>
    <row r="181" spans="1:6" x14ac:dyDescent="0.2">
      <c r="A181" s="1" vm="527">
        <f ca="1"/>
        <v>45068</v>
      </c>
      <c r="B181" s="1" vm="528">
        <f ca="1"/>
        <v>49.86</v>
      </c>
      <c r="C181" s="2">
        <f t="shared" ca="1" si="4"/>
        <v>-1.4429729195493235E-2</v>
      </c>
      <c r="D181" s="1" vm="527">
        <f ca="1"/>
        <v>45068</v>
      </c>
      <c r="E181" s="1" vm="529">
        <f ca="1"/>
        <v>420.02</v>
      </c>
      <c r="F181" s="2">
        <f t="shared" ca="1" si="5"/>
        <v>3.3443218193109914E-3</v>
      </c>
    </row>
    <row r="182" spans="1:6" x14ac:dyDescent="0.2">
      <c r="A182" s="1" vm="530">
        <f ca="1"/>
        <v>45076</v>
      </c>
      <c r="B182" s="1" vm="531">
        <f ca="1"/>
        <v>51.81</v>
      </c>
      <c r="C182" s="2">
        <f t="shared" ca="1" si="4"/>
        <v>3.9109506618531853E-2</v>
      </c>
      <c r="D182" s="1" vm="530">
        <f ca="1"/>
        <v>45076</v>
      </c>
      <c r="E182" s="1" vm="532">
        <f ca="1"/>
        <v>427.92</v>
      </c>
      <c r="F182" s="2">
        <f t="shared" ca="1" si="5"/>
        <v>1.8808628160563945E-2</v>
      </c>
    </row>
    <row r="183" spans="1:6" x14ac:dyDescent="0.2">
      <c r="A183" s="1" vm="533">
        <f ca="1"/>
        <v>45082</v>
      </c>
      <c r="B183" s="1" vm="534">
        <f ca="1"/>
        <v>53.9</v>
      </c>
      <c r="C183" s="2">
        <f t="shared" ca="1" si="4"/>
        <v>4.0339702760084917E-2</v>
      </c>
      <c r="D183" s="1" vm="533">
        <f ca="1"/>
        <v>45082</v>
      </c>
      <c r="E183" s="1" vm="535">
        <f ca="1"/>
        <v>429.9</v>
      </c>
      <c r="F183" s="2">
        <f t="shared" ca="1" si="5"/>
        <v>4.6270330902971057E-3</v>
      </c>
    </row>
    <row r="184" spans="1:6" x14ac:dyDescent="0.2">
      <c r="A184" s="1" vm="536">
        <f ca="1"/>
        <v>45089</v>
      </c>
      <c r="B184" s="1" vm="537">
        <f ca="1"/>
        <v>54.39</v>
      </c>
      <c r="C184" s="2">
        <f t="shared" ca="1" si="4"/>
        <v>9.0909090909090384E-3</v>
      </c>
      <c r="D184" s="1" vm="536">
        <f ca="1"/>
        <v>45089</v>
      </c>
      <c r="E184" s="1" vm="538">
        <f ca="1"/>
        <v>439.46</v>
      </c>
      <c r="F184" s="2">
        <f t="shared" ca="1" si="5"/>
        <v>2.2237729704582376E-2</v>
      </c>
    </row>
    <row r="185" spans="1:6" x14ac:dyDescent="0.2">
      <c r="A185" s="1" vm="539">
        <f ca="1"/>
        <v>45097</v>
      </c>
      <c r="B185" s="1" vm="540">
        <f ca="1"/>
        <v>51.92</v>
      </c>
      <c r="C185" s="2">
        <f t="shared" ca="1" si="4"/>
        <v>-4.5412759698473915E-2</v>
      </c>
      <c r="D185" s="1" vm="539">
        <f ca="1"/>
        <v>45097</v>
      </c>
      <c r="E185" s="1" vm="541">
        <f ca="1"/>
        <v>433.21</v>
      </c>
      <c r="F185" s="2">
        <f t="shared" ca="1" si="5"/>
        <v>-1.4221999726937606E-2</v>
      </c>
    </row>
    <row r="186" spans="1:6" x14ac:dyDescent="0.2">
      <c r="A186" s="1" vm="542">
        <f ca="1"/>
        <v>45103</v>
      </c>
      <c r="B186" s="1" vm="543">
        <f ca="1"/>
        <v>58.16</v>
      </c>
      <c r="C186" s="2">
        <f t="shared" ca="1" si="4"/>
        <v>0.12018489984591674</v>
      </c>
      <c r="D186" s="1" vm="542">
        <f ca="1"/>
        <v>45103</v>
      </c>
      <c r="E186" s="1" vm="544">
        <f ca="1"/>
        <v>443.28</v>
      </c>
      <c r="F186" s="2">
        <f t="shared" ca="1" si="5"/>
        <v>2.3245077445118945E-2</v>
      </c>
    </row>
    <row r="187" spans="1:6" x14ac:dyDescent="0.2">
      <c r="A187" s="1" vm="545">
        <f ca="1"/>
        <v>45110</v>
      </c>
      <c r="B187" s="1" vm="546">
        <f ca="1"/>
        <v>58.61</v>
      </c>
      <c r="C187" s="2">
        <f t="shared" ca="1" si="4"/>
        <v>7.7372764786796111E-3</v>
      </c>
      <c r="D187" s="1" vm="545">
        <f ca="1"/>
        <v>45110</v>
      </c>
      <c r="E187" s="1" vm="547">
        <f ca="1"/>
        <v>438.55</v>
      </c>
      <c r="F187" s="2">
        <f t="shared" ca="1" si="5"/>
        <v>-1.0670456596282185E-2</v>
      </c>
    </row>
    <row r="188" spans="1:6" x14ac:dyDescent="0.2">
      <c r="A188" s="1" vm="548">
        <f ca="1"/>
        <v>45117</v>
      </c>
      <c r="B188" s="1" vm="549">
        <f ca="1"/>
        <v>60.25</v>
      </c>
      <c r="C188" s="2">
        <f t="shared" ca="1" si="4"/>
        <v>2.7981573110390734E-2</v>
      </c>
      <c r="D188" s="1" vm="548">
        <f ca="1"/>
        <v>45117</v>
      </c>
      <c r="E188" s="1" vm="550">
        <f ca="1"/>
        <v>449.28</v>
      </c>
      <c r="F188" s="2">
        <f t="shared" ca="1" si="5"/>
        <v>2.4466993501311096E-2</v>
      </c>
    </row>
    <row r="189" spans="1:6" x14ac:dyDescent="0.2">
      <c r="A189" s="1" vm="551">
        <f ca="1"/>
        <v>45124</v>
      </c>
      <c r="B189" s="1" vm="552">
        <f ca="1"/>
        <v>61.61</v>
      </c>
      <c r="C189" s="2">
        <f t="shared" ca="1" si="4"/>
        <v>2.2572614107883915E-2</v>
      </c>
      <c r="D189" s="1" vm="551">
        <f ca="1"/>
        <v>45124</v>
      </c>
      <c r="E189" s="1" vm="553">
        <f ca="1"/>
        <v>452.18</v>
      </c>
      <c r="F189" s="2">
        <f t="shared" ca="1" si="5"/>
        <v>6.4547720797720753E-3</v>
      </c>
    </row>
    <row r="190" spans="1:6" x14ac:dyDescent="0.2">
      <c r="A190" s="1" vm="554">
        <f ca="1"/>
        <v>45131</v>
      </c>
      <c r="B190" s="1" vm="555">
        <f ca="1"/>
        <v>63.38</v>
      </c>
      <c r="C190" s="2">
        <f t="shared" ca="1" si="4"/>
        <v>2.8729102418438623E-2</v>
      </c>
      <c r="D190" s="1" vm="554">
        <f ca="1"/>
        <v>45131</v>
      </c>
      <c r="E190" s="1" vm="556">
        <f ca="1"/>
        <v>456.92</v>
      </c>
      <c r="F190" s="2">
        <f t="shared" ca="1" si="5"/>
        <v>1.048255119642616E-2</v>
      </c>
    </row>
    <row r="191" spans="1:6" x14ac:dyDescent="0.2">
      <c r="A191" s="1" vm="557">
        <f ca="1"/>
        <v>45138</v>
      </c>
      <c r="B191" s="1" vm="543">
        <f ca="1"/>
        <v>58.16</v>
      </c>
      <c r="C191" s="2">
        <f t="shared" ca="1" si="4"/>
        <v>-8.2360366046071443E-2</v>
      </c>
      <c r="D191" s="1" vm="557">
        <f ca="1"/>
        <v>45138</v>
      </c>
      <c r="E191" s="1" vm="558">
        <f ca="1"/>
        <v>446.81</v>
      </c>
      <c r="F191" s="2">
        <f t="shared" ca="1" si="5"/>
        <v>-2.212641162566753E-2</v>
      </c>
    </row>
    <row r="192" spans="1:6" x14ac:dyDescent="0.2">
      <c r="A192" s="1" vm="559">
        <f ca="1"/>
        <v>45145</v>
      </c>
      <c r="B192" s="1" vm="560">
        <f ca="1"/>
        <v>52.91</v>
      </c>
      <c r="C192" s="2">
        <f t="shared" ca="1" si="4"/>
        <v>-9.0268225584594242E-2</v>
      </c>
      <c r="D192" s="1" vm="559">
        <f ca="1"/>
        <v>45145</v>
      </c>
      <c r="E192" s="1" vm="561">
        <f ca="1"/>
        <v>445.65</v>
      </c>
      <c r="F192" s="2">
        <f t="shared" ca="1" si="5"/>
        <v>-2.5961818222510757E-3</v>
      </c>
    </row>
    <row r="193" spans="1:6" x14ac:dyDescent="0.2">
      <c r="A193" s="1" vm="562">
        <f ca="1"/>
        <v>45152</v>
      </c>
      <c r="B193" s="1" vm="563">
        <f ca="1"/>
        <v>51.65</v>
      </c>
      <c r="C193" s="2">
        <f t="shared" ca="1" si="4"/>
        <v>-2.3814023814023755E-2</v>
      </c>
      <c r="D193" s="1" vm="562">
        <f ca="1"/>
        <v>45152</v>
      </c>
      <c r="E193" s="1" vm="564">
        <f ca="1"/>
        <v>436.5</v>
      </c>
      <c r="F193" s="2">
        <f t="shared" ca="1" si="5"/>
        <v>-2.0531807472231489E-2</v>
      </c>
    </row>
    <row r="194" spans="1:6" x14ac:dyDescent="0.2">
      <c r="A194" s="1" vm="565">
        <f ca="1"/>
        <v>45159</v>
      </c>
      <c r="B194" s="1" vm="566">
        <f ca="1"/>
        <v>51.58</v>
      </c>
      <c r="C194" s="2">
        <f t="shared" ca="1" si="4"/>
        <v>-1.3552758954501476E-3</v>
      </c>
      <c r="D194" s="1" vm="565">
        <f ca="1"/>
        <v>45159</v>
      </c>
      <c r="E194" s="1" vm="567">
        <f ca="1"/>
        <v>439.97</v>
      </c>
      <c r="F194" s="2">
        <f t="shared" ca="1" si="5"/>
        <v>7.9495990836198072E-3</v>
      </c>
    </row>
    <row r="195" spans="1:6" x14ac:dyDescent="0.2">
      <c r="A195" s="1" vm="568">
        <f ca="1"/>
        <v>45166</v>
      </c>
      <c r="B195" s="1" vm="569">
        <f ca="1"/>
        <v>54.65</v>
      </c>
      <c r="C195" s="2">
        <f t="shared" ca="1" si="4"/>
        <v>5.9519193485847222E-2</v>
      </c>
      <c r="D195" s="1" vm="568">
        <f ca="1"/>
        <v>45166</v>
      </c>
      <c r="E195" s="1" vm="570">
        <f ca="1"/>
        <v>451.19</v>
      </c>
      <c r="F195" s="2">
        <f t="shared" ca="1" si="5"/>
        <v>2.5501738754915015E-2</v>
      </c>
    </row>
    <row r="196" spans="1:6" x14ac:dyDescent="0.2">
      <c r="A196" s="1" vm="571">
        <f ca="1"/>
        <v>45174</v>
      </c>
      <c r="B196" s="1" vm="572">
        <f ca="1"/>
        <v>50.13</v>
      </c>
      <c r="C196" s="2">
        <f t="shared" ca="1" si="4"/>
        <v>-8.2708142726440892E-2</v>
      </c>
      <c r="D196" s="1" vm="571">
        <f ca="1"/>
        <v>45174</v>
      </c>
      <c r="E196" s="1" vm="573">
        <f ca="1"/>
        <v>445.52</v>
      </c>
      <c r="F196" s="2">
        <f t="shared" ca="1" si="5"/>
        <v>-1.2566767880493823E-2</v>
      </c>
    </row>
    <row r="197" spans="1:6" x14ac:dyDescent="0.2">
      <c r="A197" s="1" vm="574">
        <f ca="1"/>
        <v>45180</v>
      </c>
      <c r="B197" s="1" vm="575">
        <f ca="1"/>
        <v>50.69</v>
      </c>
      <c r="C197" s="2">
        <f t="shared" ca="1" si="4"/>
        <v>1.1170955515659164E-2</v>
      </c>
      <c r="D197" s="1" vm="574">
        <f ca="1"/>
        <v>45180</v>
      </c>
      <c r="E197" s="1" vm="576">
        <f ca="1"/>
        <v>443.37</v>
      </c>
      <c r="F197" s="2">
        <f t="shared" ca="1" si="5"/>
        <v>-4.8258215119409975E-3</v>
      </c>
    </row>
    <row r="198" spans="1:6" x14ac:dyDescent="0.2">
      <c r="A198" s="1" vm="577">
        <f ca="1"/>
        <v>45187</v>
      </c>
      <c r="B198" s="1" vm="578">
        <f ca="1"/>
        <v>46.86</v>
      </c>
      <c r="C198" s="2">
        <f t="shared" ref="C198:C261" ca="1" si="6">(B198/B197)-1</f>
        <v>-7.5557309133951422E-2</v>
      </c>
      <c r="D198" s="1" vm="577">
        <f ca="1"/>
        <v>45187</v>
      </c>
      <c r="E198" s="1" vm="579">
        <f ca="1"/>
        <v>430.42</v>
      </c>
      <c r="F198" s="2">
        <f t="shared" ref="F198:F261" ca="1" si="7">(E198/E197)-1</f>
        <v>-2.9208110607393367E-2</v>
      </c>
    </row>
    <row r="199" spans="1:6" x14ac:dyDescent="0.2">
      <c r="A199" s="1" vm="580">
        <f ca="1"/>
        <v>45194</v>
      </c>
      <c r="B199" s="1" vm="581">
        <f ca="1"/>
        <v>47.61</v>
      </c>
      <c r="C199" s="2">
        <f t="shared" ca="1" si="6"/>
        <v>1.6005121638924535E-2</v>
      </c>
      <c r="D199" s="1" vm="580">
        <f ca="1"/>
        <v>45194</v>
      </c>
      <c r="E199" s="1" vm="582">
        <f ca="1"/>
        <v>427.48</v>
      </c>
      <c r="F199" s="2">
        <f t="shared" ca="1" si="7"/>
        <v>-6.8305376144230934E-3</v>
      </c>
    </row>
    <row r="200" spans="1:6" x14ac:dyDescent="0.2">
      <c r="A200" s="1" vm="583">
        <f ca="1"/>
        <v>45201</v>
      </c>
      <c r="B200" s="1" vm="584">
        <f ca="1"/>
        <v>42.25</v>
      </c>
      <c r="C200" s="2">
        <f t="shared" ca="1" si="6"/>
        <v>-0.11258139046418814</v>
      </c>
      <c r="D200" s="1" vm="583">
        <f ca="1"/>
        <v>45201</v>
      </c>
      <c r="E200" s="1" vm="585">
        <f ca="1"/>
        <v>429.54</v>
      </c>
      <c r="F200" s="2">
        <f t="shared" ca="1" si="7"/>
        <v>4.8189388977262215E-3</v>
      </c>
    </row>
    <row r="201" spans="1:6" x14ac:dyDescent="0.2">
      <c r="A201" s="1" vm="586">
        <f ca="1"/>
        <v>45208</v>
      </c>
      <c r="B201" s="1" vm="587">
        <f ca="1"/>
        <v>40.39</v>
      </c>
      <c r="C201" s="2">
        <f t="shared" ca="1" si="6"/>
        <v>-4.4023668639053271E-2</v>
      </c>
      <c r="D201" s="1" vm="586">
        <f ca="1"/>
        <v>45208</v>
      </c>
      <c r="E201" s="1" vm="588">
        <f ca="1"/>
        <v>431.5</v>
      </c>
      <c r="F201" s="2">
        <f t="shared" ca="1" si="7"/>
        <v>4.5630209060856242E-3</v>
      </c>
    </row>
    <row r="202" spans="1:6" x14ac:dyDescent="0.2">
      <c r="A202" s="1" vm="589">
        <f ca="1"/>
        <v>45215</v>
      </c>
      <c r="B202" s="1" vm="590">
        <f ca="1"/>
        <v>40.57</v>
      </c>
      <c r="C202" s="2">
        <f t="shared" ca="1" si="6"/>
        <v>4.4565486506560337E-3</v>
      </c>
      <c r="D202" s="1" vm="589">
        <f ca="1"/>
        <v>45215</v>
      </c>
      <c r="E202" s="1" vm="591">
        <f ca="1"/>
        <v>421.19</v>
      </c>
      <c r="F202" s="2">
        <f t="shared" ca="1" si="7"/>
        <v>-2.3893395133256057E-2</v>
      </c>
    </row>
    <row r="203" spans="1:6" x14ac:dyDescent="0.2">
      <c r="A203" s="1" vm="592">
        <f ca="1"/>
        <v>45222</v>
      </c>
      <c r="B203" s="1" vm="593">
        <f ca="1"/>
        <v>39.49</v>
      </c>
      <c r="C203" s="2">
        <f t="shared" ca="1" si="6"/>
        <v>-2.6620655656889314E-2</v>
      </c>
      <c r="D203" s="1" vm="592">
        <f ca="1"/>
        <v>45222</v>
      </c>
      <c r="E203" s="1" vm="594">
        <f ca="1"/>
        <v>410.68</v>
      </c>
      <c r="F203" s="2">
        <f t="shared" ca="1" si="7"/>
        <v>-2.495310904817305E-2</v>
      </c>
    </row>
    <row r="204" spans="1:6" x14ac:dyDescent="0.2">
      <c r="A204" s="1" vm="595">
        <f ca="1"/>
        <v>45229</v>
      </c>
      <c r="B204" s="1" vm="596">
        <f ca="1"/>
        <v>42.81</v>
      </c>
      <c r="C204" s="2">
        <f t="shared" ca="1" si="6"/>
        <v>8.4071916940997804E-2</v>
      </c>
      <c r="D204" s="1" vm="595">
        <f ca="1"/>
        <v>45229</v>
      </c>
      <c r="E204" s="1" vm="597">
        <f ca="1"/>
        <v>434.69</v>
      </c>
      <c r="F204" s="2">
        <f t="shared" ca="1" si="7"/>
        <v>5.8464010908736652E-2</v>
      </c>
    </row>
    <row r="205" spans="1:6" x14ac:dyDescent="0.2">
      <c r="A205" s="1" vm="598">
        <f ca="1"/>
        <v>45236</v>
      </c>
      <c r="B205" s="1" vm="599">
        <f ca="1"/>
        <v>37.93</v>
      </c>
      <c r="C205" s="2">
        <f t="shared" ca="1" si="6"/>
        <v>-0.11399205793039013</v>
      </c>
      <c r="D205" s="1" vm="598">
        <f ca="1"/>
        <v>45236</v>
      </c>
      <c r="E205" s="1" vm="600">
        <f ca="1"/>
        <v>440.61</v>
      </c>
      <c r="F205" s="2">
        <f t="shared" ca="1" si="7"/>
        <v>1.3618900825876024E-2</v>
      </c>
    </row>
    <row r="206" spans="1:6" x14ac:dyDescent="0.2">
      <c r="A206" s="1" vm="601">
        <f ca="1"/>
        <v>45243</v>
      </c>
      <c r="B206" s="1" vm="602">
        <f ca="1"/>
        <v>40.15</v>
      </c>
      <c r="C206" s="2">
        <f t="shared" ca="1" si="6"/>
        <v>5.8528868969153658E-2</v>
      </c>
      <c r="D206" s="1" vm="601">
        <f ca="1"/>
        <v>45243</v>
      </c>
      <c r="E206" s="1" vm="603">
        <f ca="1"/>
        <v>450.79</v>
      </c>
      <c r="F206" s="2">
        <f t="shared" ca="1" si="7"/>
        <v>2.3104332629763302E-2</v>
      </c>
    </row>
    <row r="207" spans="1:6" x14ac:dyDescent="0.2">
      <c r="A207" s="1" vm="604">
        <f ca="1"/>
        <v>45250</v>
      </c>
      <c r="B207" s="1" vm="605">
        <f ca="1"/>
        <v>39.79</v>
      </c>
      <c r="C207" s="2">
        <f t="shared" ca="1" si="6"/>
        <v>-8.9663760896637745E-3</v>
      </c>
      <c r="D207" s="1" vm="604">
        <f ca="1"/>
        <v>45250</v>
      </c>
      <c r="E207" s="1" vm="606">
        <f ca="1"/>
        <v>455.3</v>
      </c>
      <c r="F207" s="2">
        <f t="shared" ca="1" si="7"/>
        <v>1.0004658488431462E-2</v>
      </c>
    </row>
    <row r="208" spans="1:6" x14ac:dyDescent="0.2">
      <c r="A208" s="1" vm="607">
        <f ca="1"/>
        <v>45257</v>
      </c>
      <c r="B208" s="1" vm="608">
        <f ca="1"/>
        <v>40.72</v>
      </c>
      <c r="C208" s="2">
        <f t="shared" ca="1" si="6"/>
        <v>2.337270671022873E-2</v>
      </c>
      <c r="D208" s="1" vm="607">
        <f ca="1"/>
        <v>45257</v>
      </c>
      <c r="E208" s="1" vm="609">
        <f ca="1"/>
        <v>459.1</v>
      </c>
      <c r="F208" s="2">
        <f t="shared" ca="1" si="7"/>
        <v>8.346145398638205E-3</v>
      </c>
    </row>
    <row r="209" spans="1:6" x14ac:dyDescent="0.2">
      <c r="A209" s="1" vm="610">
        <f ca="1"/>
        <v>45264</v>
      </c>
      <c r="B209" s="1" vm="611">
        <f ca="1"/>
        <v>41.74</v>
      </c>
      <c r="C209" s="2">
        <f t="shared" ca="1" si="6"/>
        <v>2.5049115913555964E-2</v>
      </c>
      <c r="D209" s="1" vm="610">
        <f ca="1"/>
        <v>45264</v>
      </c>
      <c r="E209" s="1" vm="612">
        <f ca="1"/>
        <v>460.2</v>
      </c>
      <c r="F209" s="2">
        <f t="shared" ca="1" si="7"/>
        <v>2.3959921585710031E-3</v>
      </c>
    </row>
    <row r="210" spans="1:6" x14ac:dyDescent="0.2">
      <c r="A210" s="1" vm="613">
        <f ca="1"/>
        <v>45271</v>
      </c>
      <c r="B210" s="1" vm="614">
        <f ca="1"/>
        <v>45.78</v>
      </c>
      <c r="C210" s="2">
        <f t="shared" ca="1" si="6"/>
        <v>9.6789650215620471E-2</v>
      </c>
      <c r="D210" s="1" vm="613">
        <f ca="1"/>
        <v>45271</v>
      </c>
      <c r="E210" s="1" vm="615">
        <f ca="1"/>
        <v>469.33</v>
      </c>
      <c r="F210" s="2">
        <f t="shared" ca="1" si="7"/>
        <v>1.9839200347674835E-2</v>
      </c>
    </row>
    <row r="211" spans="1:6" x14ac:dyDescent="0.2">
      <c r="A211" s="1" vm="616">
        <f ca="1"/>
        <v>45278</v>
      </c>
      <c r="B211" s="1" vm="617">
        <f ca="1"/>
        <v>47.82</v>
      </c>
      <c r="C211" s="2">
        <f t="shared" ca="1" si="6"/>
        <v>4.4560943643512374E-2</v>
      </c>
      <c r="D211" s="1" vm="616">
        <f ca="1"/>
        <v>45278</v>
      </c>
      <c r="E211" s="1" vm="618">
        <f ca="1"/>
        <v>473.65</v>
      </c>
      <c r="F211" s="2">
        <f t="shared" ca="1" si="7"/>
        <v>9.2046108282017869E-3</v>
      </c>
    </row>
    <row r="212" spans="1:6" x14ac:dyDescent="0.2">
      <c r="A212" s="1" vm="619">
        <f ca="1"/>
        <v>45286</v>
      </c>
      <c r="B212" s="1" vm="620">
        <f ca="1"/>
        <v>47.22</v>
      </c>
      <c r="C212" s="2">
        <f t="shared" ca="1" si="6"/>
        <v>-1.2547051442910906E-2</v>
      </c>
      <c r="D212" s="1" vm="619">
        <f ca="1"/>
        <v>45286</v>
      </c>
      <c r="E212" s="1" vm="621">
        <f ca="1"/>
        <v>475.31</v>
      </c>
      <c r="F212" s="2">
        <f t="shared" ca="1" si="7"/>
        <v>3.5046975614905218E-3</v>
      </c>
    </row>
    <row r="213" spans="1:6" x14ac:dyDescent="0.2">
      <c r="A213" s="1" vm="622">
        <f ca="1"/>
        <v>45293</v>
      </c>
      <c r="B213" s="1" vm="623">
        <f ca="1"/>
        <v>43.3</v>
      </c>
      <c r="C213" s="2">
        <f t="shared" ca="1" si="6"/>
        <v>-8.3015671325709528E-2</v>
      </c>
      <c r="D213" s="1" vm="622">
        <f ca="1"/>
        <v>45293</v>
      </c>
      <c r="E213" s="1" vm="624">
        <f ca="1"/>
        <v>467.92</v>
      </c>
      <c r="F213" s="2">
        <f t="shared" ca="1" si="7"/>
        <v>-1.5547747785655597E-2</v>
      </c>
    </row>
    <row r="214" spans="1:6" x14ac:dyDescent="0.2">
      <c r="A214" s="1" vm="625">
        <f ca="1"/>
        <v>45299</v>
      </c>
      <c r="B214" s="1" vm="626">
        <f ca="1"/>
        <v>41.43</v>
      </c>
      <c r="C214" s="2">
        <f t="shared" ca="1" si="6"/>
        <v>-4.3187066974595734E-2</v>
      </c>
      <c r="D214" s="1" vm="625">
        <f ca="1"/>
        <v>45299</v>
      </c>
      <c r="E214" s="1" vm="627">
        <f ca="1"/>
        <v>476.68</v>
      </c>
      <c r="F214" s="2">
        <f t="shared" ca="1" si="7"/>
        <v>1.8721148914344399E-2</v>
      </c>
    </row>
    <row r="215" spans="1:6" x14ac:dyDescent="0.2">
      <c r="A215" s="1" vm="628">
        <f ca="1"/>
        <v>45307</v>
      </c>
      <c r="B215" s="1" vm="629">
        <f ca="1"/>
        <v>40.86</v>
      </c>
      <c r="C215" s="2">
        <f t="shared" ca="1" si="6"/>
        <v>-1.3758146270818283E-2</v>
      </c>
      <c r="D215" s="1" vm="628">
        <f ca="1"/>
        <v>45307</v>
      </c>
      <c r="E215" s="1" vm="630">
        <f ca="1"/>
        <v>482.43</v>
      </c>
      <c r="F215" s="2">
        <f t="shared" ca="1" si="7"/>
        <v>1.2062599647562289E-2</v>
      </c>
    </row>
    <row r="216" spans="1:6" x14ac:dyDescent="0.2">
      <c r="A216" s="1" vm="631">
        <f ca="1"/>
        <v>45313</v>
      </c>
      <c r="B216" s="1" vm="632">
        <f ca="1"/>
        <v>45.9</v>
      </c>
      <c r="C216" s="2">
        <f t="shared" ca="1" si="6"/>
        <v>0.12334801762114544</v>
      </c>
      <c r="D216" s="1" vm="631">
        <f ca="1"/>
        <v>45313</v>
      </c>
      <c r="E216" s="1" vm="633">
        <f ca="1"/>
        <v>487.41</v>
      </c>
      <c r="F216" s="2">
        <f t="shared" ca="1" si="7"/>
        <v>1.0322741123064416E-2</v>
      </c>
    </row>
    <row r="217" spans="1:6" x14ac:dyDescent="0.2">
      <c r="A217" s="1" vm="634">
        <f ca="1"/>
        <v>45320</v>
      </c>
      <c r="B217" s="1" vm="635">
        <f ca="1"/>
        <v>43.8</v>
      </c>
      <c r="C217" s="2">
        <f t="shared" ca="1" si="6"/>
        <v>-4.5751633986928164E-2</v>
      </c>
      <c r="D217" s="1" vm="634">
        <f ca="1"/>
        <v>45320</v>
      </c>
      <c r="E217" s="1" vm="636">
        <f ca="1"/>
        <v>494.35</v>
      </c>
      <c r="F217" s="2">
        <f t="shared" ca="1" si="7"/>
        <v>1.4238526086867376E-2</v>
      </c>
    </row>
    <row r="218" spans="1:6" x14ac:dyDescent="0.2">
      <c r="A218" s="1" vm="637">
        <f ca="1"/>
        <v>45327</v>
      </c>
      <c r="B218" s="1" vm="638">
        <f ca="1"/>
        <v>44.85</v>
      </c>
      <c r="C218" s="2">
        <f t="shared" ca="1" si="6"/>
        <v>2.3972602739726234E-2</v>
      </c>
      <c r="D218" s="1" vm="637">
        <f ca="1"/>
        <v>45327</v>
      </c>
      <c r="E218" s="1" vm="639">
        <f ca="1"/>
        <v>501.2</v>
      </c>
      <c r="F218" s="2">
        <f t="shared" ca="1" si="7"/>
        <v>1.3856579346616771E-2</v>
      </c>
    </row>
    <row r="219" spans="1:6" x14ac:dyDescent="0.2">
      <c r="A219" s="1" vm="640">
        <f ca="1"/>
        <v>45334</v>
      </c>
      <c r="B219" s="1" vm="641">
        <f ca="1"/>
        <v>47.66</v>
      </c>
      <c r="C219" s="2">
        <f t="shared" ca="1" si="6"/>
        <v>6.2653288740245117E-2</v>
      </c>
      <c r="D219" s="1" vm="640">
        <f ca="1"/>
        <v>45334</v>
      </c>
      <c r="E219" s="1" vm="642">
        <f ca="1"/>
        <v>499.51</v>
      </c>
      <c r="F219" s="2">
        <f t="shared" ca="1" si="7"/>
        <v>-3.3719074221867373E-3</v>
      </c>
    </row>
    <row r="220" spans="1:6" x14ac:dyDescent="0.2">
      <c r="A220" s="1" vm="643">
        <f ca="1"/>
        <v>45342</v>
      </c>
      <c r="B220" s="1" vm="644">
        <f ca="1"/>
        <v>48.95</v>
      </c>
      <c r="C220" s="2">
        <f t="shared" ca="1" si="6"/>
        <v>2.7066722618548145E-2</v>
      </c>
      <c r="D220" s="1" vm="643">
        <f ca="1"/>
        <v>45342</v>
      </c>
      <c r="E220" s="1" vm="645">
        <f ca="1"/>
        <v>507.85</v>
      </c>
      <c r="F220" s="2">
        <f t="shared" ca="1" si="7"/>
        <v>1.6696362435186574E-2</v>
      </c>
    </row>
    <row r="221" spans="1:6" x14ac:dyDescent="0.2">
      <c r="A221" s="1" vm="646">
        <f ca="1"/>
        <v>45348</v>
      </c>
      <c r="B221" s="1" vm="647">
        <f ca="1"/>
        <v>45.27</v>
      </c>
      <c r="C221" s="2">
        <f t="shared" ca="1" si="6"/>
        <v>-7.517875383043926E-2</v>
      </c>
      <c r="D221" s="1" vm="646">
        <f ca="1"/>
        <v>45348</v>
      </c>
      <c r="E221" s="1" vm="648">
        <f ca="1"/>
        <v>512.85</v>
      </c>
      <c r="F221" s="2">
        <f t="shared" ca="1" si="7"/>
        <v>9.8454267992518218E-3</v>
      </c>
    </row>
    <row r="222" spans="1:6" x14ac:dyDescent="0.2">
      <c r="A222" s="1" vm="649">
        <f ca="1"/>
        <v>45355</v>
      </c>
      <c r="B222" s="1" vm="650">
        <f ca="1"/>
        <v>46</v>
      </c>
      <c r="C222" s="2">
        <f t="shared" ca="1" si="6"/>
        <v>1.6125469405787518E-2</v>
      </c>
      <c r="D222" s="1" vm="649">
        <f ca="1"/>
        <v>45355</v>
      </c>
      <c r="E222" s="1" vm="651">
        <f ca="1"/>
        <v>511.72</v>
      </c>
      <c r="F222" s="2">
        <f t="shared" ca="1" si="7"/>
        <v>-2.2033733060349281E-3</v>
      </c>
    </row>
    <row r="223" spans="1:6" x14ac:dyDescent="0.2">
      <c r="A223" s="1" vm="652">
        <f ca="1"/>
        <v>45362</v>
      </c>
      <c r="B223" s="1" vm="647">
        <f ca="1"/>
        <v>45.27</v>
      </c>
      <c r="C223" s="2">
        <f t="shared" ca="1" si="6"/>
        <v>-1.5869565217391246E-2</v>
      </c>
      <c r="D223" s="1" vm="652">
        <f ca="1"/>
        <v>45362</v>
      </c>
      <c r="E223" s="1" vm="653">
        <f ca="1"/>
        <v>509.83</v>
      </c>
      <c r="F223" s="2">
        <f t="shared" ca="1" si="7"/>
        <v>-3.6934260923943141E-3</v>
      </c>
    </row>
    <row r="224" spans="1:6" x14ac:dyDescent="0.2">
      <c r="A224" s="1" vm="654">
        <f ca="1"/>
        <v>45369</v>
      </c>
      <c r="B224" s="1" vm="655">
        <f ca="1"/>
        <v>47.4</v>
      </c>
      <c r="C224" s="2">
        <f t="shared" ca="1" si="6"/>
        <v>4.7051027170311288E-2</v>
      </c>
      <c r="D224" s="1" vm="654">
        <f ca="1"/>
        <v>45369</v>
      </c>
      <c r="E224" s="1" vm="656">
        <f ca="1"/>
        <v>521.21</v>
      </c>
      <c r="F224" s="2">
        <f t="shared" ca="1" si="7"/>
        <v>2.2321165878822491E-2</v>
      </c>
    </row>
    <row r="225" spans="1:6" x14ac:dyDescent="0.2">
      <c r="A225" s="1" vm="657">
        <f ca="1"/>
        <v>45376</v>
      </c>
      <c r="B225" s="1" vm="658">
        <f ca="1"/>
        <v>47.7</v>
      </c>
      <c r="C225" s="2">
        <f t="shared" ca="1" si="6"/>
        <v>6.3291139240506666E-3</v>
      </c>
      <c r="D225" s="1" vm="657">
        <f ca="1"/>
        <v>45376</v>
      </c>
      <c r="E225" s="1" vm="659">
        <f ca="1"/>
        <v>523.07000000000005</v>
      </c>
      <c r="F225" s="2">
        <f t="shared" ca="1" si="7"/>
        <v>3.5686191746129303E-3</v>
      </c>
    </row>
    <row r="226" spans="1:6" x14ac:dyDescent="0.2">
      <c r="A226" s="1" vm="660">
        <f ca="1"/>
        <v>45383</v>
      </c>
      <c r="B226" s="1" vm="661">
        <f ca="1"/>
        <v>46.54</v>
      </c>
      <c r="C226" s="2">
        <f t="shared" ca="1" si="6"/>
        <v>-2.43186582809225E-2</v>
      </c>
      <c r="D226" s="1" vm="660">
        <f ca="1"/>
        <v>45383</v>
      </c>
      <c r="E226" s="1" vm="662">
        <f ca="1"/>
        <v>518.42999999999995</v>
      </c>
      <c r="F226" s="2">
        <f t="shared" ca="1" si="7"/>
        <v>-8.8707056416924557E-3</v>
      </c>
    </row>
    <row r="227" spans="1:6" x14ac:dyDescent="0.2">
      <c r="A227" s="1" vm="663">
        <f ca="1"/>
        <v>45390</v>
      </c>
      <c r="B227" s="1" vm="647">
        <f ca="1"/>
        <v>45.27</v>
      </c>
      <c r="C227" s="2">
        <f t="shared" ca="1" si="6"/>
        <v>-2.7288354103996437E-2</v>
      </c>
      <c r="D227" s="1" vm="663">
        <f ca="1"/>
        <v>45390</v>
      </c>
      <c r="E227" s="1" vm="664">
        <f ca="1"/>
        <v>510.85</v>
      </c>
      <c r="F227" s="2">
        <f t="shared" ca="1" si="7"/>
        <v>-1.4621067453657988E-2</v>
      </c>
    </row>
    <row r="228" spans="1:6" x14ac:dyDescent="0.2">
      <c r="A228" s="1" vm="665">
        <f ca="1"/>
        <v>45397</v>
      </c>
      <c r="B228" s="1" vm="666">
        <f ca="1"/>
        <v>44.44</v>
      </c>
      <c r="C228" s="2">
        <f t="shared" ca="1" si="6"/>
        <v>-1.8334437817539295E-2</v>
      </c>
      <c r="D228" s="1" vm="665">
        <f ca="1"/>
        <v>45397</v>
      </c>
      <c r="E228" s="1" vm="667">
        <f ca="1"/>
        <v>495.16</v>
      </c>
      <c r="F228" s="2">
        <f t="shared" ca="1" si="7"/>
        <v>-3.0713516687873144E-2</v>
      </c>
    </row>
    <row r="229" spans="1:6" x14ac:dyDescent="0.2">
      <c r="A229" s="1" vm="668">
        <f ca="1"/>
        <v>45404</v>
      </c>
      <c r="B229" s="1" vm="669">
        <f ca="1"/>
        <v>48.51</v>
      </c>
      <c r="C229" s="2">
        <f t="shared" ca="1" si="6"/>
        <v>9.1584158415841666E-2</v>
      </c>
      <c r="D229" s="1" vm="668">
        <f ca="1"/>
        <v>45404</v>
      </c>
      <c r="E229" s="1" vm="670">
        <f ca="1"/>
        <v>508.26</v>
      </c>
      <c r="F229" s="2">
        <f t="shared" ca="1" si="7"/>
        <v>2.6456094999596003E-2</v>
      </c>
    </row>
    <row r="230" spans="1:6" x14ac:dyDescent="0.2">
      <c r="A230" s="1" vm="671">
        <f ca="1"/>
        <v>45411</v>
      </c>
      <c r="B230" s="1" vm="672">
        <f ca="1"/>
        <v>53.56</v>
      </c>
      <c r="C230" s="2">
        <f t="shared" ca="1" si="6"/>
        <v>0.10410224695938997</v>
      </c>
      <c r="D230" s="1" vm="671">
        <f ca="1"/>
        <v>45411</v>
      </c>
      <c r="E230" s="1" vm="673">
        <f ca="1"/>
        <v>511.29</v>
      </c>
      <c r="F230" s="2">
        <f t="shared" ca="1" si="7"/>
        <v>5.9615157596506485E-3</v>
      </c>
    </row>
    <row r="231" spans="1:6" x14ac:dyDescent="0.2">
      <c r="A231" s="1" vm="674">
        <f ca="1"/>
        <v>45418</v>
      </c>
      <c r="B231" s="1" vm="675">
        <f ca="1"/>
        <v>54.48</v>
      </c>
      <c r="C231" s="2">
        <f t="shared" ca="1" si="6"/>
        <v>1.7176997759521972E-2</v>
      </c>
      <c r="D231" s="1" vm="674">
        <f ca="1"/>
        <v>45418</v>
      </c>
      <c r="E231" s="1" vm="676">
        <f ca="1"/>
        <v>520.84</v>
      </c>
      <c r="F231" s="2">
        <f t="shared" ca="1" si="7"/>
        <v>1.8678245222867762E-2</v>
      </c>
    </row>
    <row r="232" spans="1:6" x14ac:dyDescent="0.2">
      <c r="A232" s="1" vm="677">
        <f ca="1"/>
        <v>45425</v>
      </c>
      <c r="B232" s="1" vm="678">
        <f ca="1"/>
        <v>53.55</v>
      </c>
      <c r="C232" s="2">
        <f t="shared" ca="1" si="6"/>
        <v>-1.7070484581497847E-2</v>
      </c>
      <c r="D232" s="1" vm="677">
        <f ca="1"/>
        <v>45425</v>
      </c>
      <c r="E232" s="1" vm="679">
        <f ca="1"/>
        <v>529.45000000000005</v>
      </c>
      <c r="F232" s="2">
        <f t="shared" ca="1" si="7"/>
        <v>1.6530988403348434E-2</v>
      </c>
    </row>
    <row r="233" spans="1:6" x14ac:dyDescent="0.2">
      <c r="A233" s="1" vm="680">
        <f ca="1"/>
        <v>45432</v>
      </c>
      <c r="B233" s="1" vm="681">
        <f ca="1"/>
        <v>47.74</v>
      </c>
      <c r="C233" s="2">
        <f t="shared" ca="1" si="6"/>
        <v>-0.10849673202614374</v>
      </c>
      <c r="D233" s="1" vm="680">
        <f ca="1"/>
        <v>45432</v>
      </c>
      <c r="E233" s="1" vm="682">
        <f ca="1"/>
        <v>529.44000000000005</v>
      </c>
      <c r="F233" s="2">
        <f t="shared" ca="1" si="7"/>
        <v>-1.8887524789845678E-5</v>
      </c>
    </row>
    <row r="234" spans="1:6" x14ac:dyDescent="0.2">
      <c r="A234" s="1" vm="683">
        <f ca="1"/>
        <v>45440</v>
      </c>
      <c r="B234" s="1" vm="684">
        <f ca="1"/>
        <v>48.85</v>
      </c>
      <c r="C234" s="2">
        <f t="shared" ca="1" si="6"/>
        <v>2.32509426057812E-2</v>
      </c>
      <c r="D234" s="1" vm="683">
        <f ca="1"/>
        <v>45440</v>
      </c>
      <c r="E234" s="1" vm="685">
        <f ca="1"/>
        <v>527.37</v>
      </c>
      <c r="F234" s="2">
        <f t="shared" ca="1" si="7"/>
        <v>-3.9097914777879161E-3</v>
      </c>
    </row>
    <row r="235" spans="1:6" x14ac:dyDescent="0.2">
      <c r="A235" s="1" vm="686">
        <f ca="1"/>
        <v>45446</v>
      </c>
      <c r="B235" s="1" vm="687">
        <f ca="1"/>
        <v>48.04</v>
      </c>
      <c r="C235" s="2">
        <f t="shared" ca="1" si="6"/>
        <v>-1.6581371545547618E-2</v>
      </c>
      <c r="D235" s="1" vm="686">
        <f ca="1"/>
        <v>45446</v>
      </c>
      <c r="E235" s="1" vm="688">
        <f ca="1"/>
        <v>534.01</v>
      </c>
      <c r="F235" s="2">
        <f t="shared" ca="1" si="7"/>
        <v>1.2590780666325241E-2</v>
      </c>
    </row>
    <row r="236" spans="1:6" x14ac:dyDescent="0.2">
      <c r="A236" s="1" vm="689">
        <f ca="1"/>
        <v>45453</v>
      </c>
      <c r="B236" s="1" vm="690">
        <f ca="1"/>
        <v>44.91</v>
      </c>
      <c r="C236" s="2">
        <f t="shared" ca="1" si="6"/>
        <v>-6.5154038301415529E-2</v>
      </c>
      <c r="D236" s="1" vm="689">
        <f ca="1"/>
        <v>45453</v>
      </c>
      <c r="E236" s="1" vm="691">
        <f ca="1"/>
        <v>542.78</v>
      </c>
      <c r="F236" s="2">
        <f t="shared" ca="1" si="7"/>
        <v>1.6422913428587371E-2</v>
      </c>
    </row>
    <row r="237" spans="1:6" x14ac:dyDescent="0.2">
      <c r="A237" s="1" vm="692">
        <f ca="1"/>
        <v>45460</v>
      </c>
      <c r="B237" s="1" vm="693">
        <f ca="1"/>
        <v>43.9</v>
      </c>
      <c r="C237" s="2">
        <f t="shared" ca="1" si="6"/>
        <v>-2.2489423291026434E-2</v>
      </c>
      <c r="D237" s="1" vm="692">
        <f ca="1"/>
        <v>45460</v>
      </c>
      <c r="E237" s="1" vm="694">
        <f ca="1"/>
        <v>544.51</v>
      </c>
      <c r="F237" s="2">
        <f t="shared" ca="1" si="7"/>
        <v>3.1872950366631514E-3</v>
      </c>
    </row>
    <row r="238" spans="1:6" x14ac:dyDescent="0.2">
      <c r="A238" s="1" vm="695">
        <f ca="1"/>
        <v>45467</v>
      </c>
      <c r="B238" s="1" vm="696">
        <f ca="1"/>
        <v>43.71</v>
      </c>
      <c r="C238" s="2">
        <f t="shared" ca="1" si="6"/>
        <v>-4.3280182232345865E-3</v>
      </c>
      <c r="D238" s="1" vm="695">
        <f ca="1"/>
        <v>45467</v>
      </c>
      <c r="E238" s="1" vm="697">
        <f ca="1"/>
        <v>544.22</v>
      </c>
      <c r="F238" s="2">
        <f t="shared" ca="1" si="7"/>
        <v>-5.3258893316920908E-4</v>
      </c>
    </row>
    <row r="239" spans="1:6" x14ac:dyDescent="0.2">
      <c r="A239" s="1" vm="698">
        <f ca="1"/>
        <v>45474</v>
      </c>
      <c r="B239" s="1" vm="699">
        <f ca="1"/>
        <v>41.29</v>
      </c>
      <c r="C239" s="2">
        <f t="shared" ca="1" si="6"/>
        <v>-5.5364905056051295E-2</v>
      </c>
      <c r="D239" s="1" vm="698">
        <f ca="1"/>
        <v>45474</v>
      </c>
      <c r="E239" s="1" vm="700">
        <f ca="1"/>
        <v>554.64</v>
      </c>
      <c r="F239" s="2">
        <f t="shared" ca="1" si="7"/>
        <v>1.914666862665837E-2</v>
      </c>
    </row>
    <row r="240" spans="1:6" x14ac:dyDescent="0.2">
      <c r="A240" s="1" vm="701">
        <f ca="1"/>
        <v>45481</v>
      </c>
      <c r="B240" s="1" vm="702">
        <f ca="1"/>
        <v>44.22</v>
      </c>
      <c r="C240" s="2">
        <f t="shared" ca="1" si="6"/>
        <v>7.0961491886655459E-2</v>
      </c>
      <c r="D240" s="1" vm="701">
        <f ca="1"/>
        <v>45481</v>
      </c>
      <c r="E240" s="1" vm="703">
        <f ca="1"/>
        <v>559.99</v>
      </c>
      <c r="F240" s="2">
        <f t="shared" ca="1" si="7"/>
        <v>9.6458964373287159E-3</v>
      </c>
    </row>
    <row r="241" spans="1:6" x14ac:dyDescent="0.2">
      <c r="A241" s="1" vm="704">
        <f ca="1"/>
        <v>45488</v>
      </c>
      <c r="B241" s="1" vm="666">
        <f ca="1"/>
        <v>44.44</v>
      </c>
      <c r="C241" s="2">
        <f t="shared" ca="1" si="6"/>
        <v>4.9751243781093191E-3</v>
      </c>
      <c r="D241" s="1" vm="704">
        <f ca="1"/>
        <v>45488</v>
      </c>
      <c r="E241" s="1" vm="705">
        <f ca="1"/>
        <v>548.99</v>
      </c>
      <c r="F241" s="2">
        <f t="shared" ca="1" si="7"/>
        <v>-1.9643207914427085E-2</v>
      </c>
    </row>
    <row r="242" spans="1:6" x14ac:dyDescent="0.2">
      <c r="A242" s="1" vm="706">
        <f ca="1"/>
        <v>45495</v>
      </c>
      <c r="B242" s="1" vm="707">
        <f ca="1"/>
        <v>46.2</v>
      </c>
      <c r="C242" s="2">
        <f t="shared" ca="1" si="6"/>
        <v>3.9603960396039639E-2</v>
      </c>
      <c r="D242" s="1" vm="706">
        <f ca="1"/>
        <v>45495</v>
      </c>
      <c r="E242" s="1" vm="708">
        <f ca="1"/>
        <v>544.44000000000005</v>
      </c>
      <c r="F242" s="2">
        <f t="shared" ca="1" si="7"/>
        <v>-8.2879469571394138E-3</v>
      </c>
    </row>
    <row r="243" spans="1:6" x14ac:dyDescent="0.2">
      <c r="A243" s="1" vm="709">
        <f ca="1"/>
        <v>45502</v>
      </c>
      <c r="B243" s="1" vm="710">
        <f ca="1"/>
        <v>41.2</v>
      </c>
      <c r="C243" s="2">
        <f t="shared" ca="1" si="6"/>
        <v>-0.10822510822510822</v>
      </c>
      <c r="D243" s="1" vm="709">
        <f ca="1"/>
        <v>45502</v>
      </c>
      <c r="E243" s="1" vm="711">
        <f ca="1"/>
        <v>532.9</v>
      </c>
      <c r="F243" s="2">
        <f t="shared" ca="1" si="7"/>
        <v>-2.1196091396664563E-2</v>
      </c>
    </row>
    <row r="244" spans="1:6" x14ac:dyDescent="0.2">
      <c r="A244" s="1" vm="712">
        <f ca="1"/>
        <v>45509</v>
      </c>
      <c r="B244" s="1" vm="713">
        <f ca="1"/>
        <v>35.61</v>
      </c>
      <c r="C244" s="2">
        <f t="shared" ca="1" si="6"/>
        <v>-0.13567961165048548</v>
      </c>
      <c r="D244" s="1" vm="712">
        <f ca="1"/>
        <v>45509</v>
      </c>
      <c r="E244" s="1" vm="714">
        <f ca="1"/>
        <v>532.99</v>
      </c>
      <c r="F244" s="2">
        <f t="shared" ca="1" si="7"/>
        <v>1.688872208669423E-4</v>
      </c>
    </row>
    <row r="245" spans="1:6" x14ac:dyDescent="0.2">
      <c r="A245" s="1" vm="715">
        <f ca="1"/>
        <v>45516</v>
      </c>
      <c r="B245" s="1" vm="716">
        <f ca="1"/>
        <v>35.97</v>
      </c>
      <c r="C245" s="2">
        <f t="shared" ca="1" si="6"/>
        <v>1.0109519797809607E-2</v>
      </c>
      <c r="D245" s="1" vm="715">
        <f ca="1"/>
        <v>45516</v>
      </c>
      <c r="E245" s="1" vm="717">
        <f ca="1"/>
        <v>554.30999999999995</v>
      </c>
      <c r="F245" s="2">
        <f t="shared" ca="1" si="7"/>
        <v>4.0000750483123459E-2</v>
      </c>
    </row>
    <row r="246" spans="1:6" x14ac:dyDescent="0.2">
      <c r="A246" s="1" vm="718">
        <f ca="1"/>
        <v>45523</v>
      </c>
      <c r="B246" s="1" vm="719">
        <f ca="1"/>
        <v>38.44</v>
      </c>
      <c r="C246" s="2">
        <f t="shared" ca="1" si="6"/>
        <v>6.866833472338052E-2</v>
      </c>
      <c r="D246" s="1" vm="718">
        <f ca="1"/>
        <v>45523</v>
      </c>
      <c r="E246" s="1" vm="720">
        <f ca="1"/>
        <v>562.13</v>
      </c>
      <c r="F246" s="2">
        <f t="shared" ca="1" si="7"/>
        <v>1.4107629304901614E-2</v>
      </c>
    </row>
    <row r="247" spans="1:6" x14ac:dyDescent="0.2">
      <c r="A247" s="1" vm="721">
        <f ca="1"/>
        <v>45530</v>
      </c>
      <c r="B247" s="1" vm="722">
        <f ca="1"/>
        <v>39.53</v>
      </c>
      <c r="C247" s="2">
        <f t="shared" ca="1" si="6"/>
        <v>2.8355879292403907E-2</v>
      </c>
      <c r="D247" s="1" vm="721">
        <f ca="1"/>
        <v>45530</v>
      </c>
      <c r="E247" s="1" vm="723">
        <f ca="1"/>
        <v>563.67999999999995</v>
      </c>
      <c r="F247" s="2">
        <f t="shared" ca="1" si="7"/>
        <v>2.7573692918008152E-3</v>
      </c>
    </row>
    <row r="248" spans="1:6" x14ac:dyDescent="0.2">
      <c r="A248" s="1" vm="724">
        <f ca="1"/>
        <v>45538</v>
      </c>
      <c r="B248" s="1" vm="725">
        <f ca="1"/>
        <v>35.36</v>
      </c>
      <c r="C248" s="2">
        <f t="shared" ca="1" si="6"/>
        <v>-0.1054895016443208</v>
      </c>
      <c r="D248" s="1" vm="724">
        <f ca="1"/>
        <v>45538</v>
      </c>
      <c r="E248" s="1" vm="726">
        <f ca="1"/>
        <v>540.36</v>
      </c>
      <c r="F248" s="2">
        <f t="shared" ca="1" si="7"/>
        <v>-4.1370990632983107E-2</v>
      </c>
    </row>
    <row r="249" spans="1:6" x14ac:dyDescent="0.2">
      <c r="A249" s="1" vm="727">
        <f ca="1"/>
        <v>45544</v>
      </c>
      <c r="B249" s="1" vm="728">
        <f ca="1"/>
        <v>38.56</v>
      </c>
      <c r="C249" s="2">
        <f t="shared" ca="1" si="6"/>
        <v>9.0497737556561209E-2</v>
      </c>
      <c r="D249" s="1" vm="727">
        <f ca="1"/>
        <v>45544</v>
      </c>
      <c r="E249" s="1" vm="729">
        <f ca="1"/>
        <v>562.01</v>
      </c>
      <c r="F249" s="2">
        <f t="shared" ca="1" si="7"/>
        <v>4.0065882004589382E-2</v>
      </c>
    </row>
    <row r="250" spans="1:6" x14ac:dyDescent="0.2">
      <c r="A250" s="1" vm="730">
        <f ca="1"/>
        <v>45551</v>
      </c>
      <c r="B250" s="1" vm="731">
        <f ca="1"/>
        <v>40.04</v>
      </c>
      <c r="C250" s="2">
        <f t="shared" ca="1" si="6"/>
        <v>3.8381742738589075E-2</v>
      </c>
      <c r="D250" s="1" vm="730">
        <f ca="1"/>
        <v>45551</v>
      </c>
      <c r="E250" s="1" vm="732">
        <f ca="1"/>
        <v>568.25</v>
      </c>
      <c r="F250" s="2">
        <f t="shared" ca="1" si="7"/>
        <v>1.1103005284603507E-2</v>
      </c>
    </row>
    <row r="251" spans="1:6" x14ac:dyDescent="0.2">
      <c r="A251" s="1" vm="733">
        <f ca="1"/>
        <v>45558</v>
      </c>
      <c r="B251" s="1" vm="734">
        <f ca="1"/>
        <v>40.42</v>
      </c>
      <c r="C251" s="2">
        <f t="shared" ca="1" si="6"/>
        <v>9.4905094905095577E-3</v>
      </c>
      <c r="D251" s="1" vm="733">
        <f ca="1"/>
        <v>45558</v>
      </c>
      <c r="E251" s="1" vm="735">
        <f ca="1"/>
        <v>571.47</v>
      </c>
      <c r="F251" s="2">
        <f t="shared" ca="1" si="7"/>
        <v>5.6665200175980424E-3</v>
      </c>
    </row>
    <row r="252" spans="1:6" x14ac:dyDescent="0.2">
      <c r="A252" s="1" vm="736">
        <f ca="1"/>
        <v>45565</v>
      </c>
      <c r="B252" s="1" vm="737">
        <f ca="1"/>
        <v>37.04</v>
      </c>
      <c r="C252" s="2">
        <f t="shared" ca="1" si="6"/>
        <v>-8.3621969322117851E-2</v>
      </c>
      <c r="D252" s="1" vm="736">
        <f ca="1"/>
        <v>45565</v>
      </c>
      <c r="E252" s="1" vm="738">
        <f ca="1"/>
        <v>572.98</v>
      </c>
      <c r="F252" s="2">
        <f t="shared" ca="1" si="7"/>
        <v>2.6423084326385737E-3</v>
      </c>
    </row>
    <row r="253" spans="1:6" x14ac:dyDescent="0.2">
      <c r="A253" s="1" vm="739">
        <f ca="1"/>
        <v>45572</v>
      </c>
      <c r="B253" s="1" vm="740">
        <f ca="1"/>
        <v>34.229999999999997</v>
      </c>
      <c r="C253" s="2">
        <f t="shared" ca="1" si="6"/>
        <v>-7.5863930885529229E-2</v>
      </c>
      <c r="D253" s="1" vm="739">
        <f ca="1"/>
        <v>45572</v>
      </c>
      <c r="E253" s="1" vm="741">
        <f ca="1"/>
        <v>579.58000000000004</v>
      </c>
      <c r="F253" s="2">
        <f t="shared" ca="1" si="7"/>
        <v>1.1518726657125944E-2</v>
      </c>
    </row>
    <row r="254" spans="1:6" x14ac:dyDescent="0.2">
      <c r="A254" s="1" vm="742">
        <f ca="1"/>
        <v>45579</v>
      </c>
      <c r="B254" s="1" vm="743">
        <f ca="1"/>
        <v>34.76</v>
      </c>
      <c r="C254" s="2">
        <f t="shared" ca="1" si="6"/>
        <v>1.5483494011101495E-2</v>
      </c>
      <c r="D254" s="1" vm="742">
        <f ca="1"/>
        <v>45579</v>
      </c>
      <c r="E254" s="1" vm="744">
        <f ca="1"/>
        <v>584.59</v>
      </c>
      <c r="F254" s="2">
        <f t="shared" ca="1" si="7"/>
        <v>8.6441906207943564E-3</v>
      </c>
    </row>
    <row r="255" spans="1:6" x14ac:dyDescent="0.2">
      <c r="A255" s="1" vm="745">
        <f ca="1"/>
        <v>45586</v>
      </c>
      <c r="B255" s="1" vm="746">
        <f ca="1"/>
        <v>33.65</v>
      </c>
      <c r="C255" s="2">
        <f t="shared" ca="1" si="6"/>
        <v>-3.1933256616800909E-2</v>
      </c>
      <c r="D255" s="1" vm="745">
        <f ca="1"/>
        <v>45586</v>
      </c>
      <c r="E255" s="1" vm="747">
        <f ca="1"/>
        <v>579.04</v>
      </c>
      <c r="F255" s="2">
        <f t="shared" ca="1" si="7"/>
        <v>-9.4938332848664153E-3</v>
      </c>
    </row>
    <row r="256" spans="1:6" x14ac:dyDescent="0.2">
      <c r="A256" s="1" vm="748">
        <f ca="1"/>
        <v>45593</v>
      </c>
      <c r="B256" s="1" vm="749">
        <f ca="1"/>
        <v>42</v>
      </c>
      <c r="C256" s="2">
        <f t="shared" ca="1" si="6"/>
        <v>0.24814264487369986</v>
      </c>
      <c r="D256" s="1" vm="748">
        <f ca="1"/>
        <v>45593</v>
      </c>
      <c r="E256" s="1" vm="750">
        <f ca="1"/>
        <v>571.04</v>
      </c>
      <c r="F256" s="2">
        <f t="shared" ca="1" si="7"/>
        <v>-1.381597126277978E-2</v>
      </c>
    </row>
    <row r="257" spans="1:6" x14ac:dyDescent="0.2">
      <c r="A257" s="1" vm="751">
        <f ca="1"/>
        <v>45600</v>
      </c>
      <c r="B257" s="1" vm="752">
        <f ca="1"/>
        <v>45.24</v>
      </c>
      <c r="C257" s="2">
        <f t="shared" ca="1" si="6"/>
        <v>7.714285714285718E-2</v>
      </c>
      <c r="D257" s="1" vm="751">
        <f ca="1"/>
        <v>45600</v>
      </c>
      <c r="E257" s="1" vm="753">
        <f ca="1"/>
        <v>598.19000000000005</v>
      </c>
      <c r="F257" s="2">
        <f t="shared" ca="1" si="7"/>
        <v>4.7544830484729683E-2</v>
      </c>
    </row>
    <row r="258" spans="1:6" x14ac:dyDescent="0.2">
      <c r="A258" s="1" vm="754">
        <f ca="1"/>
        <v>45607</v>
      </c>
      <c r="B258" s="1" vm="755">
        <f ca="1"/>
        <v>45.97</v>
      </c>
      <c r="C258" s="2">
        <f t="shared" ca="1" si="6"/>
        <v>1.6136162687886646E-2</v>
      </c>
      <c r="D258" s="1" vm="754">
        <f ca="1"/>
        <v>45607</v>
      </c>
      <c r="E258" s="1" vm="756">
        <f ca="1"/>
        <v>585.75</v>
      </c>
      <c r="F258" s="2">
        <f t="shared" ca="1" si="7"/>
        <v>-2.0796068138885682E-2</v>
      </c>
    </row>
    <row r="259" spans="1:6" x14ac:dyDescent="0.2">
      <c r="A259" s="1" vm="757">
        <f ca="1"/>
        <v>45614</v>
      </c>
      <c r="B259" s="1" vm="758">
        <f ca="1"/>
        <v>48.56</v>
      </c>
      <c r="C259" s="2">
        <f t="shared" ca="1" si="6"/>
        <v>5.634109201653259E-2</v>
      </c>
      <c r="D259" s="1" vm="757">
        <f ca="1"/>
        <v>45614</v>
      </c>
      <c r="E259" s="1" vm="759">
        <f ca="1"/>
        <v>595.51</v>
      </c>
      <c r="F259" s="2">
        <f t="shared" ca="1" si="7"/>
        <v>1.666239863422958E-2</v>
      </c>
    </row>
    <row r="260" spans="1:6" x14ac:dyDescent="0.2">
      <c r="A260" s="1" vm="760">
        <f ca="1"/>
        <v>45621</v>
      </c>
      <c r="B260" s="1" vm="761">
        <f ca="1"/>
        <v>48.57</v>
      </c>
      <c r="C260" s="2">
        <f t="shared" ca="1" si="6"/>
        <v>2.0593080724862212E-4</v>
      </c>
      <c r="D260" s="1" vm="760">
        <f ca="1"/>
        <v>45621</v>
      </c>
      <c r="E260" s="1" vm="762">
        <f ca="1"/>
        <v>602.54999999999995</v>
      </c>
      <c r="F260" s="2">
        <f t="shared" ca="1" si="7"/>
        <v>1.1821799801850386E-2</v>
      </c>
    </row>
    <row r="261" spans="1:6" x14ac:dyDescent="0.2">
      <c r="A261" s="1" vm="763">
        <f ca="1"/>
        <v>45628</v>
      </c>
      <c r="B261" s="1" vm="764">
        <f ca="1"/>
        <v>47.11</v>
      </c>
      <c r="C261" s="2">
        <f t="shared" ca="1" si="6"/>
        <v>-3.0059707638459998E-2</v>
      </c>
      <c r="D261" s="1" vm="763">
        <f ca="1"/>
        <v>45628</v>
      </c>
      <c r="E261" s="1" vm="765">
        <f ca="1"/>
        <v>607.80999999999995</v>
      </c>
      <c r="F261" s="2">
        <f t="shared" ca="1" si="7"/>
        <v>8.7295660111192941E-3</v>
      </c>
    </row>
    <row r="262" spans="1:6" x14ac:dyDescent="0.2">
      <c r="A262" s="1" vm="766">
        <f ca="1"/>
        <v>45635</v>
      </c>
      <c r="B262" s="1" vm="58">
        <f ca="1"/>
        <v>45.83</v>
      </c>
      <c r="C262" s="2">
        <f t="shared" ref="C262:C265" ca="1" si="8">(B262/B261)-1</f>
        <v>-2.7170452133305045E-2</v>
      </c>
      <c r="D262" s="1" vm="766">
        <f ca="1"/>
        <v>45635</v>
      </c>
      <c r="E262" s="1" vm="767">
        <f ca="1"/>
        <v>604.21</v>
      </c>
      <c r="F262" s="2">
        <f t="shared" ref="F262:F265" ca="1" si="9">(E262/E261)-1</f>
        <v>-5.9229035389347651E-3</v>
      </c>
    </row>
    <row r="263" spans="1:6" x14ac:dyDescent="0.2">
      <c r="A263" s="1" vm="768">
        <f ca="1"/>
        <v>45642</v>
      </c>
      <c r="B263" s="1" vm="769">
        <f ca="1"/>
        <v>40.799999999999997</v>
      </c>
      <c r="C263" s="2">
        <f t="shared" ca="1" si="8"/>
        <v>-0.10975343661357195</v>
      </c>
      <c r="D263" s="1" vm="768">
        <f ca="1"/>
        <v>45642</v>
      </c>
      <c r="E263" s="1" vm="770">
        <f ca="1"/>
        <v>591.15</v>
      </c>
      <c r="F263" s="2">
        <f t="shared" ca="1" si="9"/>
        <v>-2.1615001406795731E-2</v>
      </c>
    </row>
    <row r="264" spans="1:6" x14ac:dyDescent="0.2">
      <c r="A264" s="1" vm="771">
        <f ca="1"/>
        <v>45649</v>
      </c>
      <c r="B264" s="1" vm="772">
        <f ca="1"/>
        <v>40.6</v>
      </c>
      <c r="C264" s="2">
        <f t="shared" ca="1" si="8"/>
        <v>-4.9019607843135971E-3</v>
      </c>
      <c r="D264" s="1" vm="771">
        <f ca="1"/>
        <v>45649</v>
      </c>
      <c r="E264" s="1" vm="773">
        <f ca="1"/>
        <v>595.01</v>
      </c>
      <c r="F264" s="2">
        <f t="shared" ca="1" si="9"/>
        <v>6.5296456060222052E-3</v>
      </c>
    </row>
    <row r="265" spans="1:6" x14ac:dyDescent="0.2">
      <c r="A265" s="1" vm="774">
        <f ca="1"/>
        <v>45656</v>
      </c>
      <c r="B265" s="1" vm="775">
        <f ca="1"/>
        <v>39.86</v>
      </c>
      <c r="C265" s="2">
        <f t="shared" ca="1" si="8"/>
        <v>-1.8226600985221775E-2</v>
      </c>
      <c r="D265" s="1" vm="774">
        <f ca="1"/>
        <v>45656</v>
      </c>
      <c r="E265" s="1" vm="776">
        <f ca="1"/>
        <v>591.95000000000005</v>
      </c>
      <c r="F265" s="2">
        <f t="shared" ca="1" si="9"/>
        <v>-5.1427707097358999E-3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46E1-A0A7-6442-9514-785910B68E63}">
  <dimension ref="B2:L63"/>
  <sheetViews>
    <sheetView zoomScale="50" workbookViewId="0">
      <selection activeCell="M62" sqref="M62"/>
    </sheetView>
  </sheetViews>
  <sheetFormatPr baseColWidth="10" defaultRowHeight="16" x14ac:dyDescent="0.2"/>
  <cols>
    <col min="1" max="1" width="26.6640625" style="4" bestFit="1" customWidth="1"/>
    <col min="2" max="2" width="32" style="4" bestFit="1" customWidth="1"/>
    <col min="3" max="7" width="11.6640625" style="4" bestFit="1" customWidth="1"/>
    <col min="8" max="9" width="10.83203125" style="4"/>
    <col min="10" max="10" width="24" style="4" bestFit="1" customWidth="1"/>
    <col min="11" max="11" width="22.5" style="4" bestFit="1" customWidth="1"/>
    <col min="12" max="16384" width="10.83203125" style="4"/>
  </cols>
  <sheetData>
    <row r="2" spans="2:11" ht="15" customHeight="1" x14ac:dyDescent="0.2"/>
    <row r="4" spans="2:11" ht="29" x14ac:dyDescent="0.35">
      <c r="B4" s="38" t="s">
        <v>260</v>
      </c>
    </row>
    <row r="7" spans="2:11" ht="17" thickBot="1" x14ac:dyDescent="0.25"/>
    <row r="8" spans="2:11" ht="17" thickBot="1" x14ac:dyDescent="0.25">
      <c r="B8" s="228" t="s">
        <v>21</v>
      </c>
      <c r="C8" s="229">
        <v>2025</v>
      </c>
      <c r="D8" s="229">
        <v>2026</v>
      </c>
      <c r="E8" s="229">
        <v>2027</v>
      </c>
      <c r="F8" s="229">
        <v>2028</v>
      </c>
      <c r="G8" s="230">
        <v>2029</v>
      </c>
      <c r="J8" s="228" t="s">
        <v>182</v>
      </c>
      <c r="K8" s="230"/>
    </row>
    <row r="9" spans="2:11" x14ac:dyDescent="0.2">
      <c r="B9" s="25"/>
      <c r="G9" s="26"/>
      <c r="J9" s="25"/>
      <c r="K9" s="26"/>
    </row>
    <row r="10" spans="2:11" x14ac:dyDescent="0.2">
      <c r="B10" s="25" t="s">
        <v>167</v>
      </c>
      <c r="C10" s="85">
        <v>1345.5776395503556</v>
      </c>
      <c r="D10" s="85">
        <v>1251.7341806621694</v>
      </c>
      <c r="E10" s="85">
        <v>1300.1628387564051</v>
      </c>
      <c r="F10" s="85">
        <v>1357.9229341176469</v>
      </c>
      <c r="G10" s="238">
        <v>1417.8112066586236</v>
      </c>
      <c r="J10" s="25" t="s">
        <v>183</v>
      </c>
      <c r="K10" s="72">
        <v>3.6400000000000002E-2</v>
      </c>
    </row>
    <row r="11" spans="2:11" x14ac:dyDescent="0.2">
      <c r="B11" s="31" t="s">
        <v>178</v>
      </c>
      <c r="D11" s="255">
        <f>(D10-C10)/C10</f>
        <v>-6.9742136113041656E-2</v>
      </c>
      <c r="E11" s="255">
        <f>(E10-D10)/D10</f>
        <v>3.868925115443992E-2</v>
      </c>
      <c r="F11" s="255">
        <f>(F10-E10)/E10</f>
        <v>4.4425277849418375E-2</v>
      </c>
      <c r="G11" s="256">
        <f>(G10-F10)/F10</f>
        <v>4.4102850785041767E-2</v>
      </c>
      <c r="J11" s="25" t="s">
        <v>171</v>
      </c>
      <c r="K11" s="189">
        <v>1.4629793196947523</v>
      </c>
    </row>
    <row r="12" spans="2:11" x14ac:dyDescent="0.2">
      <c r="B12" s="257" t="s">
        <v>170</v>
      </c>
      <c r="C12" s="85">
        <f>C48*(1-C49)</f>
        <v>152.46202002689259</v>
      </c>
      <c r="D12" s="85">
        <f t="shared" ref="D12:G12" si="0">D48*(1-D49)</f>
        <v>280.3884564683259</v>
      </c>
      <c r="E12" s="85">
        <f t="shared" si="0"/>
        <v>308.78867420464621</v>
      </c>
      <c r="F12" s="85">
        <f t="shared" si="0"/>
        <v>339.48073352941179</v>
      </c>
      <c r="G12" s="238">
        <f t="shared" si="0"/>
        <v>372.88434735121808</v>
      </c>
      <c r="J12" s="25" t="s">
        <v>184</v>
      </c>
      <c r="K12" s="56">
        <v>5.5E-2</v>
      </c>
    </row>
    <row r="13" spans="2:11" x14ac:dyDescent="0.2">
      <c r="B13" s="31" t="s">
        <v>179</v>
      </c>
      <c r="C13" s="258">
        <f>C12/C10</f>
        <v>0.113306</v>
      </c>
      <c r="D13" s="258">
        <f t="shared" ref="D13:G13" si="1">D12/D10</f>
        <v>0.22399999999999998</v>
      </c>
      <c r="E13" s="258">
        <f t="shared" si="1"/>
        <v>0.23749999999999999</v>
      </c>
      <c r="F13" s="258">
        <f t="shared" si="1"/>
        <v>0.25000000000000006</v>
      </c>
      <c r="G13" s="259">
        <f t="shared" si="1"/>
        <v>0.26300000000000007</v>
      </c>
      <c r="J13" s="25"/>
      <c r="K13" s="26"/>
    </row>
    <row r="14" spans="2:11" x14ac:dyDescent="0.2">
      <c r="B14" s="25" t="s">
        <v>177</v>
      </c>
      <c r="C14" s="85">
        <f>$H$55*C10</f>
        <v>101.18743849418674</v>
      </c>
      <c r="D14" s="85">
        <f>$H$55*D10</f>
        <v>94.130410385795145</v>
      </c>
      <c r="E14" s="85">
        <f>$H$55*E10</f>
        <v>97.772245474481664</v>
      </c>
      <c r="F14" s="85">
        <f>$H$55*F10</f>
        <v>102.11580464564706</v>
      </c>
      <c r="G14" s="238">
        <f>$H$55*G10</f>
        <v>106.6194027407285</v>
      </c>
      <c r="J14" s="25" t="s">
        <v>185</v>
      </c>
      <c r="K14" s="72">
        <f>K10+(K11*K12)</f>
        <v>0.11686386258321138</v>
      </c>
    </row>
    <row r="15" spans="2:11" x14ac:dyDescent="0.2">
      <c r="B15" s="31" t="s">
        <v>179</v>
      </c>
      <c r="C15" s="19">
        <f>C14/C10</f>
        <v>7.5200000000000003E-2</v>
      </c>
      <c r="D15" s="19">
        <f>D14/D10</f>
        <v>7.5200000000000003E-2</v>
      </c>
      <c r="E15" s="19">
        <f t="shared" ref="E15:G15" si="2">E14/E10</f>
        <v>7.5200000000000003E-2</v>
      </c>
      <c r="F15" s="19">
        <f t="shared" si="2"/>
        <v>7.5200000000000003E-2</v>
      </c>
      <c r="G15" s="72">
        <f t="shared" si="2"/>
        <v>7.5200000000000003E-2</v>
      </c>
      <c r="J15" s="266" t="s">
        <v>187</v>
      </c>
      <c r="K15" s="267">
        <f>K34/K47</f>
        <v>0.60180066340230609</v>
      </c>
    </row>
    <row r="16" spans="2:11" x14ac:dyDescent="0.2">
      <c r="B16" s="25" t="s">
        <v>169</v>
      </c>
      <c r="C16" s="8">
        <v>6.2228790508841598</v>
      </c>
      <c r="D16" s="8">
        <v>-2.4637486281619658E-2</v>
      </c>
      <c r="E16" s="8">
        <v>7.5339839667825572</v>
      </c>
      <c r="F16" s="8">
        <v>8.5111847665318123</v>
      </c>
      <c r="G16" s="29">
        <v>9.0081977081706555</v>
      </c>
      <c r="J16" s="25"/>
      <c r="K16" s="26"/>
    </row>
    <row r="17" spans="2:11" x14ac:dyDescent="0.2">
      <c r="B17" s="31" t="s">
        <v>179</v>
      </c>
      <c r="C17" s="71">
        <v>4.6246897005241747E-3</v>
      </c>
      <c r="D17" s="71">
        <v>-1.9682682363588081E-5</v>
      </c>
      <c r="E17" s="71">
        <v>5.7946464413555689E-3</v>
      </c>
      <c r="F17" s="71">
        <v>6.2677966125244226E-3</v>
      </c>
      <c r="G17" s="54">
        <v>6.3535946576416241E-3</v>
      </c>
      <c r="J17" s="25" t="s">
        <v>188</v>
      </c>
      <c r="K17" s="72">
        <f>K49/K33</f>
        <v>5.838952796509321E-2</v>
      </c>
    </row>
    <row r="18" spans="2:11" x14ac:dyDescent="0.2">
      <c r="B18" s="25" t="s">
        <v>168</v>
      </c>
      <c r="C18" s="8">
        <v>67.278881977517784</v>
      </c>
      <c r="D18" s="8">
        <v>62.58670903310847</v>
      </c>
      <c r="E18" s="8">
        <v>65.008141937820255</v>
      </c>
      <c r="F18" s="8">
        <v>67.896146705882344</v>
      </c>
      <c r="G18" s="29">
        <v>70.890560332931187</v>
      </c>
      <c r="J18" s="25" t="s">
        <v>189</v>
      </c>
      <c r="K18" s="54">
        <v>0.27600000000000002</v>
      </c>
    </row>
    <row r="19" spans="2:11" x14ac:dyDescent="0.2">
      <c r="B19" s="31" t="s">
        <v>179</v>
      </c>
      <c r="C19" s="13">
        <v>0.05</v>
      </c>
      <c r="D19" s="13">
        <v>0.05</v>
      </c>
      <c r="E19" s="13">
        <v>0.05</v>
      </c>
      <c r="F19" s="13">
        <v>0.05</v>
      </c>
      <c r="G19" s="32">
        <v>0.05</v>
      </c>
      <c r="J19" s="76" t="s">
        <v>190</v>
      </c>
      <c r="K19" s="54">
        <f>K17*(1-K18)</f>
        <v>4.2274018246727482E-2</v>
      </c>
    </row>
    <row r="20" spans="2:11" x14ac:dyDescent="0.2">
      <c r="B20" s="25"/>
      <c r="G20" s="26"/>
      <c r="J20" s="31" t="s">
        <v>191</v>
      </c>
      <c r="K20" s="72">
        <f>K33/K47</f>
        <v>0.39819933659769391</v>
      </c>
    </row>
    <row r="21" spans="2:11" x14ac:dyDescent="0.2">
      <c r="B21" s="94" t="s">
        <v>180</v>
      </c>
      <c r="C21" s="278">
        <f>C12+C14-C16-C18</f>
        <v>180.14769749267739</v>
      </c>
      <c r="D21" s="278">
        <f t="shared" ref="D21:G21" si="3">D12+D14-D16-D18</f>
        <v>311.95679530729416</v>
      </c>
      <c r="E21" s="278">
        <f t="shared" si="3"/>
        <v>334.01879377452508</v>
      </c>
      <c r="F21" s="278">
        <f t="shared" si="3"/>
        <v>365.1892067026447</v>
      </c>
      <c r="G21" s="279">
        <f t="shared" si="3"/>
        <v>399.60499205084477</v>
      </c>
      <c r="J21" s="25"/>
      <c r="K21" s="26"/>
    </row>
    <row r="22" spans="2:11" x14ac:dyDescent="0.2">
      <c r="B22" s="260" t="s">
        <v>179</v>
      </c>
      <c r="C22" s="261">
        <f>C21/H62</f>
        <v>0.13388131029947584</v>
      </c>
      <c r="D22" s="261">
        <f>D21/I62</f>
        <v>0.24921968268236352</v>
      </c>
      <c r="E22" s="261">
        <f>E21/J62</f>
        <v>0.25690535355864447</v>
      </c>
      <c r="F22" s="261">
        <f>F21/K62</f>
        <v>0.26893220338747564</v>
      </c>
      <c r="G22" s="262">
        <f>G21/L62</f>
        <v>0.28184640534235844</v>
      </c>
      <c r="J22" s="76" t="s">
        <v>192</v>
      </c>
      <c r="K22" s="189">
        <v>0</v>
      </c>
    </row>
    <row r="23" spans="2:11" x14ac:dyDescent="0.2">
      <c r="B23" s="25"/>
      <c r="G23" s="26"/>
      <c r="J23" s="31" t="s">
        <v>193</v>
      </c>
      <c r="K23" s="189">
        <v>0</v>
      </c>
    </row>
    <row r="24" spans="2:11" x14ac:dyDescent="0.2">
      <c r="B24" s="94" t="s">
        <v>228</v>
      </c>
      <c r="C24" s="278">
        <f>C21/(1+$K$25)^1</f>
        <v>165.70452092501114</v>
      </c>
      <c r="D24" s="278">
        <f>D21/(1+$K$25)^2</f>
        <v>263.94031690073962</v>
      </c>
      <c r="E24" s="278">
        <f>E21/(1+$K$25)^3</f>
        <v>259.94880702753704</v>
      </c>
      <c r="F24" s="278">
        <f>F21/(1+$K$25)^4</f>
        <v>261.42101735581883</v>
      </c>
      <c r="G24" s="279">
        <f>G21/(1+$K$25)^5</f>
        <v>263.12318283389618</v>
      </c>
      <c r="J24" s="25"/>
      <c r="K24" s="26"/>
    </row>
    <row r="25" spans="2:11" x14ac:dyDescent="0.2">
      <c r="B25" s="25"/>
      <c r="G25" s="26"/>
      <c r="J25" s="25" t="s">
        <v>181</v>
      </c>
      <c r="K25" s="54">
        <f>K15*K14+K20*K19</f>
        <v>8.716223605149824E-2</v>
      </c>
    </row>
    <row r="26" spans="2:11" x14ac:dyDescent="0.2">
      <c r="B26" s="25" t="s">
        <v>229</v>
      </c>
      <c r="C26" s="8">
        <f>SUM(C24:G24)</f>
        <v>1214.1378450430027</v>
      </c>
      <c r="G26" s="26"/>
      <c r="J26" s="25"/>
      <c r="K26" s="26"/>
    </row>
    <row r="27" spans="2:11" x14ac:dyDescent="0.2">
      <c r="B27" s="25" t="s">
        <v>230</v>
      </c>
      <c r="C27" s="8">
        <f>(G24 * (1+$K$27))/($K$25-$K$27)</f>
        <v>4160.7508628898568</v>
      </c>
      <c r="G27" s="26"/>
      <c r="J27" s="25" t="s">
        <v>194</v>
      </c>
      <c r="K27" s="54">
        <v>2.2499999999999999E-2</v>
      </c>
    </row>
    <row r="28" spans="2:11" x14ac:dyDescent="0.2">
      <c r="B28" s="25" t="s">
        <v>241</v>
      </c>
      <c r="C28" s="8">
        <f>C27/(1+$K$25)^5</f>
        <v>2739.680514009096</v>
      </c>
      <c r="G28" s="26"/>
      <c r="J28" s="25"/>
      <c r="K28" s="26"/>
    </row>
    <row r="29" spans="2:11" x14ac:dyDescent="0.2">
      <c r="B29" s="25" t="s">
        <v>231</v>
      </c>
      <c r="C29" s="61">
        <f>C26+C28</f>
        <v>3953.8183590520985</v>
      </c>
      <c r="D29" s="90"/>
      <c r="E29" s="90"/>
      <c r="F29" s="90"/>
      <c r="G29" s="263"/>
      <c r="J29" s="25"/>
      <c r="K29" s="26"/>
    </row>
    <row r="30" spans="2:11" x14ac:dyDescent="0.2">
      <c r="B30" s="25" t="s">
        <v>232</v>
      </c>
      <c r="C30" s="19">
        <f>C28/C29</f>
        <v>0.69292017619795665</v>
      </c>
      <c r="G30" s="26"/>
      <c r="J30" s="25" t="s">
        <v>195</v>
      </c>
      <c r="K30" s="26"/>
    </row>
    <row r="31" spans="2:11" x14ac:dyDescent="0.2">
      <c r="B31" s="73"/>
      <c r="G31" s="26"/>
      <c r="J31" s="25" t="s">
        <v>196</v>
      </c>
      <c r="K31" s="26">
        <v>52.25</v>
      </c>
    </row>
    <row r="32" spans="2:11" x14ac:dyDescent="0.2">
      <c r="B32" s="25" t="s">
        <v>155</v>
      </c>
      <c r="C32" s="61">
        <v>68</v>
      </c>
      <c r="G32" s="26"/>
      <c r="J32" s="25" t="s">
        <v>197</v>
      </c>
      <c r="K32" s="26">
        <v>36.47</v>
      </c>
    </row>
    <row r="33" spans="2:11" x14ac:dyDescent="0.2">
      <c r="B33" s="25" t="s">
        <v>233</v>
      </c>
      <c r="C33" s="8">
        <f>K33</f>
        <v>1260.5</v>
      </c>
      <c r="G33" s="26"/>
      <c r="J33" s="25" t="s">
        <v>198</v>
      </c>
      <c r="K33" s="189">
        <f>102+1158.5</f>
        <v>1260.5</v>
      </c>
    </row>
    <row r="34" spans="2:11" ht="17" customHeight="1" thickBot="1" x14ac:dyDescent="0.25">
      <c r="B34" s="25" t="s">
        <v>234</v>
      </c>
      <c r="C34" s="61">
        <v>0</v>
      </c>
      <c r="G34" s="26"/>
      <c r="J34" s="34" t="s">
        <v>199</v>
      </c>
      <c r="K34" s="268">
        <v>1905</v>
      </c>
    </row>
    <row r="35" spans="2:11" ht="17" customHeight="1" x14ac:dyDescent="0.2">
      <c r="B35" s="25" t="s">
        <v>235</v>
      </c>
      <c r="C35" s="61">
        <v>0</v>
      </c>
      <c r="G35" s="26"/>
      <c r="K35" s="86"/>
    </row>
    <row r="36" spans="2:11" ht="17" customHeight="1" x14ac:dyDescent="0.2">
      <c r="B36" s="25"/>
      <c r="G36" s="26"/>
      <c r="K36" s="86"/>
    </row>
    <row r="37" spans="2:11" ht="17" customHeight="1" x14ac:dyDescent="0.2">
      <c r="B37" s="25" t="s">
        <v>236</v>
      </c>
      <c r="C37" s="8">
        <f>C29+C32-C33-C34-C35</f>
        <v>2761.3183590520985</v>
      </c>
      <c r="G37" s="26"/>
      <c r="K37" s="86"/>
    </row>
    <row r="38" spans="2:11" ht="17" customHeight="1" x14ac:dyDescent="0.2">
      <c r="B38" s="25" t="s">
        <v>237</v>
      </c>
      <c r="C38" s="264">
        <v>36.323</v>
      </c>
      <c r="G38" s="26"/>
      <c r="K38" s="86"/>
    </row>
    <row r="39" spans="2:11" ht="17" customHeight="1" x14ac:dyDescent="0.2">
      <c r="B39" s="25"/>
      <c r="G39" s="26"/>
      <c r="K39" s="86"/>
    </row>
    <row r="40" spans="2:11" ht="17" customHeight="1" x14ac:dyDescent="0.2">
      <c r="B40" s="25" t="s">
        <v>238</v>
      </c>
      <c r="C40" s="8">
        <f>C37/C38</f>
        <v>76.021208574514731</v>
      </c>
      <c r="G40" s="26"/>
      <c r="K40" s="86"/>
    </row>
    <row r="41" spans="2:11" x14ac:dyDescent="0.2">
      <c r="B41" s="25" t="s">
        <v>239</v>
      </c>
      <c r="C41" s="4">
        <v>52.25</v>
      </c>
      <c r="G41" s="26"/>
      <c r="K41" s="86"/>
    </row>
    <row r="42" spans="2:11" ht="17" thickBot="1" x14ac:dyDescent="0.25">
      <c r="B42" s="34" t="s">
        <v>240</v>
      </c>
      <c r="C42" s="265">
        <f>(C40-C41)/C41</f>
        <v>0.45495136027779387</v>
      </c>
      <c r="D42" s="35"/>
      <c r="E42" s="35"/>
      <c r="F42" s="35"/>
      <c r="G42" s="36"/>
      <c r="K42" s="86"/>
    </row>
    <row r="43" spans="2:11" x14ac:dyDescent="0.2">
      <c r="K43" s="86"/>
    </row>
    <row r="44" spans="2:11" x14ac:dyDescent="0.2">
      <c r="K44" s="86"/>
    </row>
    <row r="46" spans="2:11" ht="17" thickBot="1" x14ac:dyDescent="0.25"/>
    <row r="47" spans="2:11" x14ac:dyDescent="0.2">
      <c r="B47" s="222"/>
      <c r="C47" s="200">
        <v>2020</v>
      </c>
      <c r="D47" s="200">
        <v>2021</v>
      </c>
      <c r="E47" s="200">
        <v>2022</v>
      </c>
      <c r="F47" s="200">
        <v>2023</v>
      </c>
      <c r="G47" s="208">
        <v>2024</v>
      </c>
      <c r="J47" s="21" t="s">
        <v>200</v>
      </c>
      <c r="K47" s="269">
        <f>K34+K33</f>
        <v>3165.5</v>
      </c>
    </row>
    <row r="48" spans="2:11" x14ac:dyDescent="0.2">
      <c r="B48" s="270" t="s">
        <v>72</v>
      </c>
      <c r="C48" s="90">
        <v>210.58290058963067</v>
      </c>
      <c r="D48" s="90">
        <v>280.3884564683259</v>
      </c>
      <c r="E48" s="90">
        <v>308.78867420464621</v>
      </c>
      <c r="F48" s="90">
        <v>339.48073352941179</v>
      </c>
      <c r="G48" s="271">
        <v>372.88434735121808</v>
      </c>
      <c r="J48" s="25" t="s">
        <v>201</v>
      </c>
      <c r="K48" s="26">
        <v>18.399999999999999</v>
      </c>
    </row>
    <row r="49" spans="2:12" x14ac:dyDescent="0.2">
      <c r="B49" s="211" t="s">
        <v>204</v>
      </c>
      <c r="C49" s="226">
        <v>0.27600000000000002</v>
      </c>
      <c r="D49" s="212"/>
      <c r="E49" s="212"/>
      <c r="F49" s="212"/>
      <c r="G49" s="213"/>
      <c r="J49" s="25" t="s">
        <v>202</v>
      </c>
      <c r="K49" s="26">
        <f>K48*4</f>
        <v>73.599999999999994</v>
      </c>
    </row>
    <row r="50" spans="2:12" x14ac:dyDescent="0.2">
      <c r="J50" s="25"/>
      <c r="K50" s="26"/>
    </row>
    <row r="51" spans="2:12" ht="17" thickBot="1" x14ac:dyDescent="0.25">
      <c r="J51" s="34" t="s">
        <v>203</v>
      </c>
      <c r="K51" s="195">
        <f>K10+K11*K12</f>
        <v>0.11686386258321138</v>
      </c>
    </row>
    <row r="52" spans="2:12" x14ac:dyDescent="0.2">
      <c r="K52" s="19"/>
    </row>
    <row r="53" spans="2:12" x14ac:dyDescent="0.2">
      <c r="K53" s="19"/>
    </row>
    <row r="54" spans="2:12" x14ac:dyDescent="0.2">
      <c r="K54" s="19"/>
    </row>
    <row r="55" spans="2:12" x14ac:dyDescent="0.2">
      <c r="B55" s="272" t="s">
        <v>126</v>
      </c>
      <c r="C55" s="273">
        <v>8.2400000000000001E-2</v>
      </c>
      <c r="D55" s="273">
        <v>7.9000000000000001E-2</v>
      </c>
      <c r="E55" s="273">
        <v>6.5199999999999994E-2</v>
      </c>
      <c r="F55" s="273">
        <v>7.2599999999999998E-2</v>
      </c>
      <c r="G55" s="273">
        <v>7.6999999999999999E-2</v>
      </c>
      <c r="H55" s="273">
        <v>7.5200000000000003E-2</v>
      </c>
      <c r="I55" s="200"/>
      <c r="J55" s="200"/>
      <c r="K55" s="200"/>
      <c r="L55" s="208"/>
    </row>
    <row r="56" spans="2:12" x14ac:dyDescent="0.2">
      <c r="B56" s="183"/>
      <c r="L56" s="210"/>
    </row>
    <row r="57" spans="2:12" x14ac:dyDescent="0.2">
      <c r="B57" s="183" t="s">
        <v>127</v>
      </c>
      <c r="C57" s="8">
        <v>173.60000000000005</v>
      </c>
      <c r="D57" s="8">
        <v>200.20000000000002</v>
      </c>
      <c r="E57" s="8">
        <v>303.99999999999989</v>
      </c>
      <c r="F57" s="8">
        <v>284.20000000000005</v>
      </c>
      <c r="G57" s="8">
        <v>222.39999999999998</v>
      </c>
      <c r="H57" s="8">
        <v>228.62287905088414</v>
      </c>
      <c r="I57" s="8">
        <v>228.59824156460252</v>
      </c>
      <c r="J57" s="8">
        <v>236.13222553138507</v>
      </c>
      <c r="K57" s="8">
        <v>244.64341029791689</v>
      </c>
      <c r="L57" s="203">
        <v>253.65160800608754</v>
      </c>
    </row>
    <row r="58" spans="2:12" x14ac:dyDescent="0.2">
      <c r="B58" s="183" t="s">
        <v>128</v>
      </c>
      <c r="C58" s="71"/>
      <c r="D58" s="8">
        <v>26.599999999999966</v>
      </c>
      <c r="E58" s="8">
        <v>103.79999999999987</v>
      </c>
      <c r="F58" s="8">
        <v>-19.799999999999841</v>
      </c>
      <c r="G58" s="8">
        <v>-61.800000000000068</v>
      </c>
      <c r="H58" s="8">
        <v>6.2228790508841598</v>
      </c>
      <c r="I58" s="8">
        <v>-2.4637486281619658E-2</v>
      </c>
      <c r="J58" s="8">
        <v>7.5339839667825572</v>
      </c>
      <c r="K58" s="8">
        <v>8.5111847665318123</v>
      </c>
      <c r="L58" s="203">
        <v>9.0081977081706555</v>
      </c>
    </row>
    <row r="59" spans="2:12" x14ac:dyDescent="0.2">
      <c r="B59" s="183" t="s">
        <v>129</v>
      </c>
      <c r="C59" s="71"/>
      <c r="D59" s="71">
        <v>1.9116061803808815E-2</v>
      </c>
      <c r="E59" s="71">
        <v>6.2219025355151877E-2</v>
      </c>
      <c r="F59" s="71">
        <v>-1.1701436085337653E-2</v>
      </c>
      <c r="G59" s="71">
        <v>-4.3941979522184343E-2</v>
      </c>
      <c r="H59" s="71">
        <v>4.6246897005241747E-3</v>
      </c>
      <c r="I59" s="71">
        <v>-1.9682682363588081E-5</v>
      </c>
      <c r="J59" s="71">
        <v>5.7946464413555689E-3</v>
      </c>
      <c r="K59" s="71">
        <v>6.2677966125244226E-3</v>
      </c>
      <c r="L59" s="274">
        <v>6.3535946576416241E-3</v>
      </c>
    </row>
    <row r="60" spans="2:12" x14ac:dyDescent="0.2">
      <c r="B60" s="223"/>
      <c r="C60" s="224"/>
      <c r="D60" s="224"/>
      <c r="E60" s="224"/>
      <c r="F60" s="224"/>
      <c r="G60" s="224"/>
      <c r="H60" s="83"/>
      <c r="I60" s="83"/>
      <c r="J60" s="83"/>
      <c r="K60" s="83"/>
      <c r="L60" s="275"/>
    </row>
    <row r="61" spans="2:12" x14ac:dyDescent="0.2">
      <c r="B61" s="209" t="s">
        <v>5</v>
      </c>
      <c r="C61" s="4">
        <v>2020</v>
      </c>
      <c r="D61" s="276">
        <v>2021</v>
      </c>
      <c r="E61" s="4">
        <v>2022</v>
      </c>
      <c r="F61" s="276">
        <v>2023</v>
      </c>
      <c r="G61" s="4">
        <v>2024</v>
      </c>
      <c r="H61" s="276">
        <v>2025</v>
      </c>
      <c r="I61" s="4">
        <v>2026</v>
      </c>
      <c r="J61" s="276">
        <v>2027</v>
      </c>
      <c r="K61" s="4">
        <v>2028</v>
      </c>
      <c r="L61" s="277">
        <v>2029</v>
      </c>
    </row>
    <row r="62" spans="2:12" x14ac:dyDescent="0.2">
      <c r="B62" s="204"/>
      <c r="C62" s="205">
        <v>1216.0999999999999</v>
      </c>
      <c r="D62" s="205">
        <v>1391.5</v>
      </c>
      <c r="E62" s="205">
        <v>1668.3</v>
      </c>
      <c r="F62" s="205">
        <v>1692.1</v>
      </c>
      <c r="G62" s="205">
        <v>1406.4</v>
      </c>
      <c r="H62" s="206">
        <v>1345.5776395503556</v>
      </c>
      <c r="I62" s="206">
        <v>1251.7341806621694</v>
      </c>
      <c r="J62" s="206">
        <v>1300.1628387564051</v>
      </c>
      <c r="K62" s="206">
        <v>1357.9229341176469</v>
      </c>
      <c r="L62" s="207">
        <v>1417.8112066586236</v>
      </c>
    </row>
    <row r="63" spans="2:12" x14ac:dyDescent="0.2">
      <c r="C63" s="97"/>
      <c r="D63" s="97"/>
      <c r="E63" s="97"/>
      <c r="F63" s="97"/>
      <c r="G63" s="97"/>
      <c r="H63" s="97"/>
      <c r="I63" s="97"/>
      <c r="J63" s="82"/>
      <c r="K63" s="82"/>
      <c r="L63" s="8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Vertical Analysis</vt:lpstr>
      <vt:lpstr>Horizontal Analysis</vt:lpstr>
      <vt:lpstr>Sales Breakdown</vt:lpstr>
      <vt:lpstr>Ratios</vt:lpstr>
      <vt:lpstr>Revenue Build</vt:lpstr>
      <vt:lpstr>Income Statement</vt:lpstr>
      <vt:lpstr>Balance Sheet</vt:lpstr>
      <vt:lpstr>Cash Flow</vt:lpstr>
      <vt:lpstr>Beta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Wenzel</dc:creator>
  <cp:lastModifiedBy>Kelly Wenzel</cp:lastModifiedBy>
  <dcterms:created xsi:type="dcterms:W3CDTF">2025-11-26T19:55:57Z</dcterms:created>
  <dcterms:modified xsi:type="dcterms:W3CDTF">2025-12-29T05:34:19Z</dcterms:modified>
</cp:coreProperties>
</file>